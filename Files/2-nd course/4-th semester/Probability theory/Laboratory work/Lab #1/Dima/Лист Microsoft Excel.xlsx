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vidmi\Documents\Github\Codespace\Files\2-nd course\4-th semester\Probability theory\Laboratory work\Lab #1\Dima\"/>
    </mc:Choice>
  </mc:AlternateContent>
  <xr:revisionPtr revIDLastSave="0" documentId="13_ncr:1_{6B086A24-B988-4D99-97FA-6EB7AB7D9D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7" i="1" l="1"/>
  <c r="B97" i="1"/>
  <c r="E62" i="1" a="1"/>
  <c r="E62" i="1" s="1"/>
  <c r="F62" i="1" l="1"/>
  <c r="A62" i="1" a="1"/>
  <c r="A62" i="1" s="1"/>
  <c r="B62" i="1" s="1"/>
  <c r="C62" i="1" s="1"/>
  <c r="H6" i="1"/>
  <c r="H3" i="1"/>
  <c r="H4" i="1" s="1"/>
  <c r="H25" i="1"/>
  <c r="H33" i="1"/>
  <c r="H31" i="1"/>
  <c r="I31" i="1"/>
  <c r="I30" i="1"/>
  <c r="H30" i="1"/>
  <c r="I28" i="1"/>
  <c r="H28" i="1"/>
  <c r="I29" i="1"/>
  <c r="H29" i="1"/>
  <c r="I26" i="1"/>
  <c r="I27" i="1" s="1"/>
  <c r="H26" i="1"/>
  <c r="H27" i="1" s="1"/>
  <c r="I25" i="1"/>
  <c r="I24" i="1"/>
  <c r="H24" i="1"/>
  <c r="H17" i="1"/>
  <c r="H14" i="1"/>
  <c r="H13" i="1"/>
  <c r="K13" i="1" s="1"/>
  <c r="H2" i="1"/>
  <c r="K2" i="1" s="1"/>
  <c r="G62" i="1" l="1"/>
  <c r="B87" i="1"/>
  <c r="C87" i="1" s="1"/>
  <c r="B75" i="1"/>
  <c r="C75" i="1" s="1"/>
  <c r="B63" i="1"/>
  <c r="C63" i="1" s="1"/>
  <c r="F84" i="1"/>
  <c r="G84" i="1" s="1"/>
  <c r="F72" i="1"/>
  <c r="G72" i="1" s="1"/>
  <c r="F83" i="1"/>
  <c r="G83" i="1" s="1"/>
  <c r="B85" i="1"/>
  <c r="C85" i="1" s="1"/>
  <c r="B73" i="1"/>
  <c r="C73" i="1" s="1"/>
  <c r="F94" i="1"/>
  <c r="G94" i="1" s="1"/>
  <c r="F82" i="1"/>
  <c r="G82" i="1" s="1"/>
  <c r="F70" i="1"/>
  <c r="G70" i="1" s="1"/>
  <c r="B96" i="1"/>
  <c r="C96" i="1" s="1"/>
  <c r="B84" i="1"/>
  <c r="C84" i="1" s="1"/>
  <c r="B72" i="1"/>
  <c r="C72" i="1" s="1"/>
  <c r="F93" i="1"/>
  <c r="G93" i="1" s="1"/>
  <c r="F81" i="1"/>
  <c r="G81" i="1" s="1"/>
  <c r="F69" i="1"/>
  <c r="G69" i="1" s="1"/>
  <c r="B95" i="1"/>
  <c r="C95" i="1" s="1"/>
  <c r="B83" i="1"/>
  <c r="C83" i="1" s="1"/>
  <c r="B71" i="1"/>
  <c r="C71" i="1" s="1"/>
  <c r="F92" i="1"/>
  <c r="G92" i="1" s="1"/>
  <c r="F80" i="1"/>
  <c r="G80" i="1" s="1"/>
  <c r="F68" i="1"/>
  <c r="G68" i="1" s="1"/>
  <c r="B94" i="1"/>
  <c r="C94" i="1" s="1"/>
  <c r="B82" i="1"/>
  <c r="C82" i="1" s="1"/>
  <c r="B70" i="1"/>
  <c r="C70" i="1" s="1"/>
  <c r="F91" i="1"/>
  <c r="G91" i="1" s="1"/>
  <c r="F79" i="1"/>
  <c r="G79" i="1" s="1"/>
  <c r="F67" i="1"/>
  <c r="G67" i="1" s="1"/>
  <c r="B93" i="1"/>
  <c r="C93" i="1" s="1"/>
  <c r="B81" i="1"/>
  <c r="C81" i="1" s="1"/>
  <c r="B69" i="1"/>
  <c r="C69" i="1" s="1"/>
  <c r="F90" i="1"/>
  <c r="G90" i="1" s="1"/>
  <c r="F78" i="1"/>
  <c r="G78" i="1" s="1"/>
  <c r="F66" i="1"/>
  <c r="G66" i="1" s="1"/>
  <c r="B92" i="1"/>
  <c r="C92" i="1" s="1"/>
  <c r="B80" i="1"/>
  <c r="C80" i="1" s="1"/>
  <c r="B68" i="1"/>
  <c r="C68" i="1" s="1"/>
  <c r="F89" i="1"/>
  <c r="G89" i="1" s="1"/>
  <c r="F77" i="1"/>
  <c r="G77" i="1" s="1"/>
  <c r="F65" i="1"/>
  <c r="G65" i="1" s="1"/>
  <c r="B74" i="1"/>
  <c r="C74" i="1" s="1"/>
  <c r="B91" i="1"/>
  <c r="C91" i="1" s="1"/>
  <c r="B79" i="1"/>
  <c r="C79" i="1" s="1"/>
  <c r="B67" i="1"/>
  <c r="C67" i="1" s="1"/>
  <c r="F88" i="1"/>
  <c r="G88" i="1" s="1"/>
  <c r="F76" i="1"/>
  <c r="G76" i="1" s="1"/>
  <c r="F64" i="1"/>
  <c r="G64" i="1" s="1"/>
  <c r="B86" i="1"/>
  <c r="C86" i="1" s="1"/>
  <c r="B90" i="1"/>
  <c r="C90" i="1" s="1"/>
  <c r="B78" i="1"/>
  <c r="C78" i="1" s="1"/>
  <c r="B66" i="1"/>
  <c r="C66" i="1" s="1"/>
  <c r="F87" i="1"/>
  <c r="G87" i="1" s="1"/>
  <c r="F75" i="1"/>
  <c r="G75" i="1" s="1"/>
  <c r="F63" i="1"/>
  <c r="G63" i="1" s="1"/>
  <c r="H15" i="1"/>
  <c r="H16" i="1" s="1"/>
  <c r="L13" i="1" s="1"/>
  <c r="B89" i="1"/>
  <c r="C89" i="1" s="1"/>
  <c r="B77" i="1"/>
  <c r="C77" i="1" s="1"/>
  <c r="B65" i="1"/>
  <c r="C65" i="1" s="1"/>
  <c r="F86" i="1"/>
  <c r="G86" i="1" s="1"/>
  <c r="F74" i="1"/>
  <c r="G74" i="1" s="1"/>
  <c r="F71" i="1"/>
  <c r="G71" i="1" s="1"/>
  <c r="H5" i="1"/>
  <c r="L2" i="1" s="1"/>
  <c r="B88" i="1"/>
  <c r="C88" i="1" s="1"/>
  <c r="B76" i="1"/>
  <c r="C76" i="1" s="1"/>
  <c r="B64" i="1"/>
  <c r="C64" i="1" s="1"/>
  <c r="F85" i="1"/>
  <c r="G85" i="1" s="1"/>
  <c r="F73" i="1"/>
  <c r="G73" i="1" s="1"/>
  <c r="M2" i="1" l="1"/>
  <c r="N2" i="1"/>
  <c r="O2" i="1" s="1"/>
  <c r="K3" i="1"/>
  <c r="K14" i="1"/>
  <c r="N13" i="1"/>
  <c r="M13" i="1"/>
  <c r="F95" i="1"/>
  <c r="G95" i="1"/>
  <c r="L3" i="1"/>
  <c r="K4" i="1" s="1"/>
  <c r="E1" i="1" a="1"/>
  <c r="E1" i="1" s="1"/>
  <c r="D1" i="1" a="1"/>
  <c r="D1" i="1" s="1"/>
  <c r="O13" i="1" l="1"/>
  <c r="L14" i="1"/>
  <c r="K15" i="1" s="1"/>
  <c r="M14" i="1"/>
  <c r="N14" i="1"/>
  <c r="O14" i="1" s="1"/>
  <c r="L4" i="1"/>
  <c r="K5" i="1" s="1"/>
  <c r="N4" i="1"/>
  <c r="O4" i="1" s="1"/>
  <c r="M4" i="1"/>
  <c r="M3" i="1"/>
  <c r="N3" i="1"/>
  <c r="L15" i="1" l="1"/>
  <c r="K16" i="1" s="1"/>
  <c r="M15" i="1"/>
  <c r="N15" i="1"/>
  <c r="O15" i="1" s="1"/>
  <c r="O3" i="1"/>
  <c r="L5" i="1"/>
  <c r="K6" i="1" s="1"/>
  <c r="M5" i="1"/>
  <c r="N5" i="1"/>
  <c r="O5" i="1" s="1"/>
  <c r="L16" i="1" l="1"/>
  <c r="K17" i="1" s="1"/>
  <c r="N16" i="1"/>
  <c r="O16" i="1" s="1"/>
  <c r="M16" i="1"/>
  <c r="L6" i="1"/>
  <c r="K7" i="1" s="1"/>
  <c r="N6" i="1"/>
  <c r="O6" i="1" s="1"/>
  <c r="M6" i="1"/>
  <c r="L17" i="1" l="1"/>
  <c r="K18" i="1" s="1"/>
  <c r="M17" i="1"/>
  <c r="N17" i="1"/>
  <c r="O17" i="1" s="1"/>
  <c r="L7" i="1"/>
  <c r="K8" i="1" s="1"/>
  <c r="M7" i="1"/>
  <c r="N7" i="1"/>
  <c r="O7" i="1" s="1"/>
  <c r="L18" i="1" l="1"/>
  <c r="K19" i="1" s="1"/>
  <c r="N18" i="1"/>
  <c r="O18" i="1" s="1"/>
  <c r="M18" i="1"/>
  <c r="L8" i="1"/>
  <c r="M8" i="1"/>
  <c r="N8" i="1"/>
  <c r="O8" i="1" s="1"/>
  <c r="O9" i="1" s="1"/>
  <c r="L19" i="1" l="1"/>
  <c r="N19" i="1"/>
  <c r="M19" i="1"/>
  <c r="N9" i="1"/>
  <c r="O19" i="1" l="1"/>
  <c r="O20" i="1" s="1"/>
  <c r="N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<sst xmlns="http://schemas.openxmlformats.org/spreadsheetml/2006/main" count="109" uniqueCount="73">
  <si>
    <t xml:space="preserve">      </t>
  </si>
  <si>
    <t>№ интервала</t>
  </si>
  <si>
    <t>Границы интервалов</t>
  </si>
  <si>
    <t>Середина (ui)</t>
  </si>
  <si>
    <t>Частота (mi)</t>
  </si>
  <si>
    <t>Относит. частота (hi = mi/n)</t>
  </si>
  <si>
    <t>Сумма</t>
  </si>
  <si>
    <t>Объём выборки (n)</t>
  </si>
  <si>
    <t>X:</t>
  </si>
  <si>
    <t>Y:</t>
  </si>
  <si>
    <t>xmin</t>
  </si>
  <si>
    <t>xmax</t>
  </si>
  <si>
    <t>Rx</t>
  </si>
  <si>
    <t>Dx</t>
  </si>
  <si>
    <t>K</t>
  </si>
  <si>
    <t>Граница интервала 1</t>
  </si>
  <si>
    <t>Граница интервала 2</t>
  </si>
  <si>
    <t xml:space="preserve"> </t>
  </si>
  <si>
    <t>Характеристика</t>
  </si>
  <si>
    <t xml:space="preserve">Значение для X </t>
  </si>
  <si>
    <t xml:space="preserve">Значение для Y </t>
  </si>
  <si>
    <t xml:space="preserve">Выборочное среднее x </t>
  </si>
  <si>
    <t>Выборочная дисперсия (S^2)</t>
  </si>
  <si>
    <t>Стандартное отклонение (S)</t>
  </si>
  <si>
    <t>Коэффициент вариации (V)</t>
  </si>
  <si>
    <t>Асимметрия (Sk)</t>
  </si>
  <si>
    <t>Эксцесс (Ex)</t>
  </si>
  <si>
    <t>Медиана (Me)</t>
  </si>
  <si>
    <t>Мода (Mo)</t>
  </si>
  <si>
    <t>Коэффициент корреляции R12</t>
  </si>
  <si>
    <t>x</t>
  </si>
  <si>
    <t>y</t>
  </si>
  <si>
    <t>ymin</t>
  </si>
  <si>
    <t>ymax</t>
  </si>
  <si>
    <t>сумма</t>
  </si>
  <si>
    <t>xi</t>
  </si>
  <si>
    <t>mi</t>
  </si>
  <si>
    <t>hi</t>
  </si>
  <si>
    <t>yi</t>
  </si>
  <si>
    <t>Границы интервала</t>
  </si>
  <si>
    <r>
      <t>Середина u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</si>
  <si>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t>Частота m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</si>
  <si>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t>Отн. частота W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</si>
  <si>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t>W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sz val="14"/>
        <color theme="1"/>
        <rFont val="Times New Roman"/>
        <family val="1"/>
        <charset val="204"/>
      </rPr>
      <t>/h</t>
    </r>
    <r>
      <rPr>
        <vertAlign val="subscript"/>
        <sz val="14"/>
        <color theme="1"/>
        <rFont val="Times New Roman"/>
        <family val="1"/>
        <charset val="204"/>
      </rPr>
      <t>x</t>
    </r>
  </si>
  <si>
    <t>(5,06; 5,94]</t>
  </si>
  <si>
    <t>(5,94; 6,82]</t>
  </si>
  <si>
    <t>(6,82; 7,70]</t>
  </si>
  <si>
    <t>(7,70; 8,58]</t>
  </si>
  <si>
    <t>(8,58; 9,46]</t>
  </si>
  <si>
    <t>(9,46; 10,34]</t>
  </si>
  <si>
    <t xml:space="preserve"> Сумма   </t>
  </si>
  <si>
    <t xml:space="preserve"> (9,30; 20,70]     </t>
  </si>
  <si>
    <t xml:space="preserve"> (20,70; 32,10]    </t>
  </si>
  <si>
    <t xml:space="preserve"> (32,10; 43,50]    </t>
  </si>
  <si>
    <t xml:space="preserve"> (43,50; 54,90]    </t>
  </si>
  <si>
    <t xml:space="preserve"> (54,90; 66,30]    </t>
  </si>
  <si>
    <t xml:space="preserve"> (66,30; 77,70]    </t>
  </si>
  <si>
    <t xml:space="preserve"> (5,182; 5,819]    </t>
  </si>
  <si>
    <t xml:space="preserve"> (5,819; 6,456]    </t>
  </si>
  <si>
    <t xml:space="preserve"> (6,456; 7,093]    </t>
  </si>
  <si>
    <t xml:space="preserve"> (7,093; 7,730]    </t>
  </si>
  <si>
    <t xml:space="preserve"> (7,730; 8,367]    </t>
  </si>
  <si>
    <t xml:space="preserve"> (8,367; 9,004]    </t>
  </si>
  <si>
    <t xml:space="preserve"> (9,004; 9,641]    </t>
  </si>
  <si>
    <t xml:space="preserve"> (9,641; 10,278]   </t>
  </si>
  <si>
    <t xml:space="preserve"> (10,874; 19,126]  </t>
  </si>
  <si>
    <t xml:space="preserve"> (19,126; 27,379]  </t>
  </si>
  <si>
    <t xml:space="preserve"> (27,379; 35,631]  </t>
  </si>
  <si>
    <t xml:space="preserve"> (35,631; 43,884]  </t>
  </si>
  <si>
    <t xml:space="preserve"> (43,884; 52,136]  </t>
  </si>
  <si>
    <t xml:space="preserve"> (52,136; 60,389]  </t>
  </si>
  <si>
    <t xml:space="preserve"> (60,389; 68,641]  </t>
  </si>
  <si>
    <t xml:space="preserve"> (68,641; 76,894]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</si>
</sst>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173" fontId="0" fillId="0" borderId="1" xfId="0" applyNumberFormat="1" applyBorder="1"/>
    <xf numFmtId="0" fontId="3" fillId="0" borderId="1" xfId="0" applyFont="1" applyBorder="1"/>
    <xf numFmtId="2" fontId="2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Полигон относительных частот СВ</a:t>
            </a:r>
            <a:r>
              <a:rPr lang="ru-RU" b="1" baseline="0"/>
              <a:t> Х</a:t>
            </a:r>
          </a:p>
        </c:rich>
      </c:tx>
      <c:layout>
        <c:manualLayout>
          <c:xMode val="edge"/>
          <c:yMode val="edge"/>
          <c:x val="0.15772284793514735"/>
          <c:y val="3.262642740619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270603674540683E-2"/>
          <c:y val="0.16245370370370371"/>
          <c:w val="0.8839606299212597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Относит. частота (hi = mi/n)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Лист1!$M$2:$M$8</c:f>
              <c:numCache>
                <c:formatCode>0.00</c:formatCode>
                <c:ptCount val="7"/>
                <c:pt idx="0">
                  <c:v>5.8185165950726212</c:v>
                </c:pt>
                <c:pt idx="1">
                  <c:v>6.4555497852178618</c:v>
                </c:pt>
                <c:pt idx="2">
                  <c:v>7.0925829753631042</c:v>
                </c:pt>
                <c:pt idx="3">
                  <c:v>7.7296161655083448</c:v>
                </c:pt>
                <c:pt idx="4">
                  <c:v>8.3666493556535873</c:v>
                </c:pt>
                <c:pt idx="5">
                  <c:v>9.0036825457988297</c:v>
                </c:pt>
                <c:pt idx="6">
                  <c:v>9.6407157359440721</c:v>
                </c:pt>
              </c:numCache>
            </c:numRef>
          </c:cat>
          <c:val>
            <c:numRef>
              <c:f>Лист1!$O$2:$O$8</c:f>
              <c:numCache>
                <c:formatCode>0.00</c:formatCode>
                <c:ptCount val="7"/>
                <c:pt idx="0">
                  <c:v>0.16666666666666666</c:v>
                </c:pt>
                <c:pt idx="1">
                  <c:v>0.1</c:v>
                </c:pt>
                <c:pt idx="2">
                  <c:v>0.21666666666666667</c:v>
                </c:pt>
                <c:pt idx="3">
                  <c:v>0.18333333333333332</c:v>
                </c:pt>
                <c:pt idx="4">
                  <c:v>0.13333333333333333</c:v>
                </c:pt>
                <c:pt idx="5">
                  <c:v>0.11666666666666667</c:v>
                </c:pt>
                <c:pt idx="6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3-43CA-A491-F928692F3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205311"/>
        <c:axId val="2100208639"/>
      </c:lineChart>
      <c:catAx>
        <c:axId val="210020531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0208639"/>
        <c:crosses val="autoZero"/>
        <c:auto val="1"/>
        <c:lblAlgn val="ctr"/>
        <c:lblOffset val="100"/>
        <c:noMultiLvlLbl val="0"/>
      </c:catAx>
      <c:valAx>
        <c:axId val="21002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020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baseline="0">
                <a:effectLst/>
              </a:rPr>
              <a:t>Полигон относительных частот СВ </a:t>
            </a:r>
            <a:r>
              <a:rPr lang="en-US" sz="1200" b="1" i="0" baseline="0">
                <a:effectLst/>
              </a:rPr>
              <a:t>Y</a:t>
            </a:r>
            <a:endParaRPr lang="ru-RU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6708333333333336"/>
          <c:w val="0.8839606299212597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Лист1!$M$13:$M$19</c:f>
              <c:numCache>
                <c:formatCode>0.00</c:formatCode>
                <c:ptCount val="7"/>
                <c:pt idx="0">
                  <c:v>19.126237708895314</c:v>
                </c:pt>
                <c:pt idx="1">
                  <c:v>27.378713126685941</c:v>
                </c:pt>
                <c:pt idx="2">
                  <c:v>35.631188544476572</c:v>
                </c:pt>
                <c:pt idx="3">
                  <c:v>43.883663962267192</c:v>
                </c:pt>
                <c:pt idx="4">
                  <c:v>52.136139380057827</c:v>
                </c:pt>
                <c:pt idx="5">
                  <c:v>60.388614797848447</c:v>
                </c:pt>
                <c:pt idx="6">
                  <c:v>68.641090215639082</c:v>
                </c:pt>
              </c:numCache>
            </c:numRef>
          </c:cat>
          <c:val>
            <c:numRef>
              <c:f>Лист1!$O$13:$O$19</c:f>
              <c:numCache>
                <c:formatCode>General</c:formatCode>
                <c:ptCount val="7"/>
                <c:pt idx="0">
                  <c:v>6.6666666666666666E-2</c:v>
                </c:pt>
                <c:pt idx="1">
                  <c:v>0.23333333333333334</c:v>
                </c:pt>
                <c:pt idx="2">
                  <c:v>0.15</c:v>
                </c:pt>
                <c:pt idx="3">
                  <c:v>0.28333333333333333</c:v>
                </c:pt>
                <c:pt idx="4">
                  <c:v>0.21666666666666667</c:v>
                </c:pt>
                <c:pt idx="5">
                  <c:v>1.6666666666666666E-2</c:v>
                </c:pt>
                <c:pt idx="6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0-472D-A047-A3F1D9EA1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910063"/>
        <c:axId val="1911910895"/>
      </c:lineChart>
      <c:catAx>
        <c:axId val="191191006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1910895"/>
        <c:crosses val="autoZero"/>
        <c:auto val="1"/>
        <c:lblAlgn val="ctr"/>
        <c:lblOffset val="100"/>
        <c:noMultiLvlLbl val="0"/>
      </c:catAx>
      <c:valAx>
        <c:axId val="191191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19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Полигон относительных частот СВ </a:t>
            </a:r>
            <a:r>
              <a:rPr lang="en-US" sz="1800" b="0" i="0" baseline="0">
                <a:effectLst/>
              </a:rPr>
              <a:t>X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Лист1!$C$61</c:f>
              <c:strCache>
                <c:ptCount val="1"/>
                <c:pt idx="0">
                  <c:v>hi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Лист1!$A$62:$A$96</c:f>
              <c:numCache>
                <c:formatCode>General</c:formatCode>
                <c:ptCount val="35"/>
                <c:pt idx="0">
                  <c:v>5.5</c:v>
                </c:pt>
                <c:pt idx="1">
                  <c:v>5.6</c:v>
                </c:pt>
                <c:pt idx="2">
                  <c:v>5.7</c:v>
                </c:pt>
                <c:pt idx="3">
                  <c:v>5.8</c:v>
                </c:pt>
                <c:pt idx="4">
                  <c:v>5.9</c:v>
                </c:pt>
                <c:pt idx="5">
                  <c:v>6</c:v>
                </c:pt>
                <c:pt idx="6">
                  <c:v>6.1</c:v>
                </c:pt>
                <c:pt idx="7">
                  <c:v>6.2</c:v>
                </c:pt>
                <c:pt idx="8">
                  <c:v>6.3</c:v>
                </c:pt>
                <c:pt idx="9">
                  <c:v>6.5</c:v>
                </c:pt>
                <c:pt idx="10">
                  <c:v>6.7</c:v>
                </c:pt>
                <c:pt idx="11">
                  <c:v>6.8</c:v>
                </c:pt>
                <c:pt idx="12">
                  <c:v>6.9</c:v>
                </c:pt>
                <c:pt idx="13">
                  <c:v>7</c:v>
                </c:pt>
                <c:pt idx="14">
                  <c:v>7.2</c:v>
                </c:pt>
                <c:pt idx="15">
                  <c:v>7.3</c:v>
                </c:pt>
                <c:pt idx="16">
                  <c:v>7.4</c:v>
                </c:pt>
                <c:pt idx="17">
                  <c:v>7.5</c:v>
                </c:pt>
                <c:pt idx="18">
                  <c:v>7.6</c:v>
                </c:pt>
                <c:pt idx="19">
                  <c:v>7.7</c:v>
                </c:pt>
                <c:pt idx="20">
                  <c:v>7.8</c:v>
                </c:pt>
                <c:pt idx="21">
                  <c:v>7.9</c:v>
                </c:pt>
                <c:pt idx="22">
                  <c:v>8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8.3000000000000007</c:v>
                </c:pt>
                <c:pt idx="26">
                  <c:v>8.6</c:v>
                </c:pt>
                <c:pt idx="27">
                  <c:v>8.9</c:v>
                </c:pt>
                <c:pt idx="28">
                  <c:v>9.1</c:v>
                </c:pt>
                <c:pt idx="29">
                  <c:v>9.1999999999999993</c:v>
                </c:pt>
                <c:pt idx="30">
                  <c:v>9.3000000000000007</c:v>
                </c:pt>
                <c:pt idx="31">
                  <c:v>9.4</c:v>
                </c:pt>
                <c:pt idx="32">
                  <c:v>9.5</c:v>
                </c:pt>
                <c:pt idx="33">
                  <c:v>9.6</c:v>
                </c:pt>
                <c:pt idx="34">
                  <c:v>9.9</c:v>
                </c:pt>
              </c:numCache>
            </c:numRef>
          </c:xVal>
          <c:yVal>
            <c:numRef>
              <c:f>Лист1!$C$62:$C$96</c:f>
              <c:numCache>
                <c:formatCode>General</c:formatCode>
                <c:ptCount val="35"/>
                <c:pt idx="0">
                  <c:v>1.6666666666666666E-2</c:v>
                </c:pt>
                <c:pt idx="1">
                  <c:v>3.3333333333333333E-2</c:v>
                </c:pt>
                <c:pt idx="2">
                  <c:v>1.6666666666666666E-2</c:v>
                </c:pt>
                <c:pt idx="3">
                  <c:v>3.3333333333333333E-2</c:v>
                </c:pt>
                <c:pt idx="4">
                  <c:v>1.6666666666666666E-2</c:v>
                </c:pt>
                <c:pt idx="5">
                  <c:v>1.6666666666666666E-2</c:v>
                </c:pt>
                <c:pt idx="6">
                  <c:v>3.3333333333333333E-2</c:v>
                </c:pt>
                <c:pt idx="7">
                  <c:v>1.6666666666666666E-2</c:v>
                </c:pt>
                <c:pt idx="8">
                  <c:v>3.3333333333333333E-2</c:v>
                </c:pt>
                <c:pt idx="9">
                  <c:v>3.3333333333333333E-2</c:v>
                </c:pt>
                <c:pt idx="10">
                  <c:v>1.6666666666666666E-2</c:v>
                </c:pt>
                <c:pt idx="11">
                  <c:v>1.6666666666666666E-2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3.3333333333333333E-2</c:v>
                </c:pt>
                <c:pt idx="16">
                  <c:v>1.6666666666666666E-2</c:v>
                </c:pt>
                <c:pt idx="17">
                  <c:v>1.6666666666666666E-2</c:v>
                </c:pt>
                <c:pt idx="18">
                  <c:v>3.3333333333333333E-2</c:v>
                </c:pt>
                <c:pt idx="19">
                  <c:v>1.6666666666666666E-2</c:v>
                </c:pt>
                <c:pt idx="20">
                  <c:v>0.05</c:v>
                </c:pt>
                <c:pt idx="21">
                  <c:v>3.3333333333333333E-2</c:v>
                </c:pt>
                <c:pt idx="22">
                  <c:v>3.3333333333333333E-2</c:v>
                </c:pt>
                <c:pt idx="23">
                  <c:v>1.6666666666666666E-2</c:v>
                </c:pt>
                <c:pt idx="24">
                  <c:v>3.3333333333333333E-2</c:v>
                </c:pt>
                <c:pt idx="25">
                  <c:v>3.3333333333333333E-2</c:v>
                </c:pt>
                <c:pt idx="26">
                  <c:v>0.05</c:v>
                </c:pt>
                <c:pt idx="27">
                  <c:v>6.6666666666666666E-2</c:v>
                </c:pt>
                <c:pt idx="28">
                  <c:v>1.6666666666666666E-2</c:v>
                </c:pt>
                <c:pt idx="29">
                  <c:v>1.6666666666666666E-2</c:v>
                </c:pt>
                <c:pt idx="30">
                  <c:v>1.6666666666666666E-2</c:v>
                </c:pt>
                <c:pt idx="31">
                  <c:v>1.6666666666666666E-2</c:v>
                </c:pt>
                <c:pt idx="32">
                  <c:v>1.6666666666666666E-2</c:v>
                </c:pt>
                <c:pt idx="33">
                  <c:v>3.3333333333333333E-2</c:v>
                </c:pt>
                <c:pt idx="34">
                  <c:v>1.6666666666666666E-2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A-494C-B359-280C335B1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658223"/>
        <c:axId val="1631659471"/>
      </c:scatterChart>
      <c:valAx>
        <c:axId val="1631658223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659471"/>
        <c:crosses val="autoZero"/>
        <c:crossBetween val="midCat"/>
      </c:valAx>
      <c:valAx>
        <c:axId val="163165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65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Полигон относительных частот СВ </a:t>
            </a:r>
            <a:r>
              <a:rPr lang="en-US" sz="1800" b="0" i="0" baseline="0">
                <a:effectLst/>
              </a:rPr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Лист1!$E$62:$E$94</c:f>
              <c:numCache>
                <c:formatCode>General</c:formatCode>
                <c:ptCount val="33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38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55</c:v>
                </c:pt>
                <c:pt idx="30">
                  <c:v>60</c:v>
                </c:pt>
                <c:pt idx="31">
                  <c:v>70</c:v>
                </c:pt>
                <c:pt idx="32">
                  <c:v>72</c:v>
                </c:pt>
              </c:numCache>
            </c:numRef>
          </c:xVal>
          <c:yVal>
            <c:numRef>
              <c:f>Лист1!$G$62:$G$94</c:f>
              <c:numCache>
                <c:formatCode>General</c:formatCode>
                <c:ptCount val="33"/>
                <c:pt idx="0">
                  <c:v>1.6666666666666666E-2</c:v>
                </c:pt>
                <c:pt idx="1">
                  <c:v>3.3333333333333333E-2</c:v>
                </c:pt>
                <c:pt idx="2">
                  <c:v>1.6666666666666666E-2</c:v>
                </c:pt>
                <c:pt idx="3">
                  <c:v>1.6666666666666666E-2</c:v>
                </c:pt>
                <c:pt idx="4">
                  <c:v>1.6666666666666666E-2</c:v>
                </c:pt>
                <c:pt idx="5">
                  <c:v>3.3333333333333333E-2</c:v>
                </c:pt>
                <c:pt idx="6">
                  <c:v>3.3333333333333333E-2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0.05</c:v>
                </c:pt>
                <c:pt idx="10">
                  <c:v>1.6666666666666666E-2</c:v>
                </c:pt>
                <c:pt idx="11">
                  <c:v>3.3333333333333333E-2</c:v>
                </c:pt>
                <c:pt idx="12">
                  <c:v>3.3333333333333333E-2</c:v>
                </c:pt>
                <c:pt idx="13">
                  <c:v>1.6666666666666666E-2</c:v>
                </c:pt>
                <c:pt idx="14">
                  <c:v>1.6666666666666666E-2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1.6666666666666666E-2</c:v>
                </c:pt>
                <c:pt idx="19">
                  <c:v>8.3333333333333329E-2</c:v>
                </c:pt>
                <c:pt idx="20">
                  <c:v>1.6666666666666666E-2</c:v>
                </c:pt>
                <c:pt idx="21">
                  <c:v>1.6666666666666666E-2</c:v>
                </c:pt>
                <c:pt idx="22">
                  <c:v>3.3333333333333333E-2</c:v>
                </c:pt>
                <c:pt idx="23">
                  <c:v>1.6666666666666666E-2</c:v>
                </c:pt>
                <c:pt idx="24">
                  <c:v>1.6666666666666666E-2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1.6666666666666666E-2</c:v>
                </c:pt>
                <c:pt idx="29">
                  <c:v>3.3333333333333333E-2</c:v>
                </c:pt>
                <c:pt idx="30">
                  <c:v>1.6666666666666666E-2</c:v>
                </c:pt>
                <c:pt idx="31">
                  <c:v>1.6666666666666666E-2</c:v>
                </c:pt>
                <c:pt idx="32">
                  <c:v>1.6666666666666666E-2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E-49E1-88C2-D47B80046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289007"/>
        <c:axId val="2097289839"/>
      </c:scatterChart>
      <c:valAx>
        <c:axId val="2097289007"/>
        <c:scaling>
          <c:orientation val="minMax"/>
          <c:max val="80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289839"/>
        <c:crosses val="autoZero"/>
        <c:crossBetween val="midCat"/>
      </c:valAx>
      <c:valAx>
        <c:axId val="20972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28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Гистограммма относительных частот случайной</a:t>
            </a:r>
          </a:p>
          <a:p>
            <a:pPr>
              <a:defRPr/>
            </a:pPr>
            <a:r>
              <a:rPr lang="ru-RU"/>
              <a:t>величины </a:t>
            </a:r>
            <a:r>
              <a:rPr lang="en-US"/>
              <a:t>X</a:t>
            </a:r>
            <a:r>
              <a:rPr lang="ru-RU"/>
              <a:t> (способ</a:t>
            </a:r>
            <a:r>
              <a:rPr lang="ru-RU" baseline="0"/>
              <a:t>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Лист2!$K$9</c:f>
              <c:strCache>
                <c:ptCount val="1"/>
                <c:pt idx="0">
                  <c:v>Отн. частота Wi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Лист2!$I$10:$I$15</c:f>
              <c:numCache>
                <c:formatCode>General</c:formatCode>
                <c:ptCount val="6"/>
                <c:pt idx="0">
                  <c:v>5.5</c:v>
                </c:pt>
                <c:pt idx="1">
                  <c:v>6.38</c:v>
                </c:pt>
                <c:pt idx="2">
                  <c:v>7.26</c:v>
                </c:pt>
                <c:pt idx="3">
                  <c:v>8.14</c:v>
                </c:pt>
                <c:pt idx="4">
                  <c:v>9.02</c:v>
                </c:pt>
                <c:pt idx="5">
                  <c:v>9.9</c:v>
                </c:pt>
              </c:numCache>
            </c:numRef>
          </c:cat>
          <c:val>
            <c:numRef>
              <c:f>Лист2!$K$10:$K$15</c:f>
              <c:numCache>
                <c:formatCode>General</c:formatCode>
                <c:ptCount val="6"/>
                <c:pt idx="0">
                  <c:v>0.1167</c:v>
                </c:pt>
                <c:pt idx="1">
                  <c:v>0.16669999999999999</c:v>
                </c:pt>
                <c:pt idx="2">
                  <c:v>0.26669999999999999</c:v>
                </c:pt>
                <c:pt idx="3">
                  <c:v>0.2</c:v>
                </c:pt>
                <c:pt idx="4">
                  <c:v>0.18329999999999999</c:v>
                </c:pt>
                <c:pt idx="5">
                  <c:v>6.6699999999999995E-2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5-4780-A9D4-C0B51B46A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790495"/>
        <c:axId val="1325786335"/>
      </c:barChart>
      <c:catAx>
        <c:axId val="13257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5786335"/>
        <c:crosses val="autoZero"/>
        <c:auto val="1"/>
        <c:lblAlgn val="ctr"/>
        <c:lblOffset val="100"/>
        <c:noMultiLvlLbl val="0"/>
      </c:catAx>
      <c:valAx>
        <c:axId val="132578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57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Гистограммма относительных частот случайной</a:t>
            </a:r>
            <a:endParaRPr lang="ru-RU" sz="1400">
              <a:effectLst/>
            </a:endParaRPr>
          </a:p>
          <a:p>
            <a:pPr>
              <a:defRPr/>
            </a:pPr>
            <a:r>
              <a:rPr lang="ru-RU" sz="1400" b="0" i="0" baseline="0">
                <a:effectLst/>
              </a:rPr>
              <a:t>величины </a:t>
            </a:r>
            <a:r>
              <a:rPr lang="en-US" sz="1400" b="0" i="0" baseline="0">
                <a:effectLst/>
              </a:rPr>
              <a:t>Y</a:t>
            </a:r>
            <a:r>
              <a:rPr lang="ru-RU" sz="1400" b="0" i="0" baseline="0">
                <a:effectLst/>
              </a:rPr>
              <a:t> (способ 1)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Лист2!$K$18</c:f>
              <c:strCache>
                <c:ptCount val="1"/>
                <c:pt idx="0">
                  <c:v>Отн. частота Wi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Лист2!$I$19:$I$24</c:f>
              <c:numCache>
                <c:formatCode>General</c:formatCode>
                <c:ptCount val="6"/>
                <c:pt idx="0">
                  <c:v>15</c:v>
                </c:pt>
                <c:pt idx="1">
                  <c:v>26.4</c:v>
                </c:pt>
                <c:pt idx="2">
                  <c:v>37.799999999999997</c:v>
                </c:pt>
                <c:pt idx="3">
                  <c:v>49.2</c:v>
                </c:pt>
                <c:pt idx="4">
                  <c:v>60.6</c:v>
                </c:pt>
                <c:pt idx="5">
                  <c:v>72</c:v>
                </c:pt>
              </c:numCache>
            </c:numRef>
          </c:cat>
          <c:val>
            <c:numRef>
              <c:f>Лист2!$K$19:$K$24</c:f>
              <c:numCache>
                <c:formatCode>General</c:formatCode>
                <c:ptCount val="6"/>
                <c:pt idx="0">
                  <c:v>0.05</c:v>
                </c:pt>
                <c:pt idx="1">
                  <c:v>0.2833</c:v>
                </c:pt>
                <c:pt idx="2">
                  <c:v>0.31669999999999998</c:v>
                </c:pt>
                <c:pt idx="3">
                  <c:v>0.26669999999999999</c:v>
                </c:pt>
                <c:pt idx="4">
                  <c:v>0.05</c:v>
                </c:pt>
                <c:pt idx="5">
                  <c:v>3.3300000000000003E-2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3-4358-B4A8-CD904B53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324879"/>
        <c:axId val="1200321967"/>
      </c:barChart>
      <c:catAx>
        <c:axId val="120032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0321967"/>
        <c:crosses val="autoZero"/>
        <c:auto val="1"/>
        <c:lblAlgn val="ctr"/>
        <c:lblOffset val="100"/>
        <c:noMultiLvlLbl val="0"/>
      </c:catAx>
      <c:valAx>
        <c:axId val="120032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032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Гистограммма относительных частот случайной</a:t>
            </a:r>
            <a:endParaRPr lang="ru-RU" sz="1400">
              <a:effectLst/>
            </a:endParaRPr>
          </a:p>
          <a:p>
            <a:pPr>
              <a:defRPr/>
            </a:pPr>
            <a:r>
              <a:rPr lang="ru-RU" sz="1400" b="0" i="0" baseline="0">
                <a:effectLst/>
              </a:rPr>
              <a:t>величины  (способ </a:t>
            </a:r>
            <a:r>
              <a:rPr lang="en-US" sz="1400" b="0" i="0" baseline="0">
                <a:effectLst/>
              </a:rPr>
              <a:t>2</a:t>
            </a:r>
            <a:r>
              <a:rPr lang="ru-RU" sz="1400" b="0" i="0" baseline="0">
                <a:effectLst/>
              </a:rPr>
              <a:t>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Лист2!$K$27</c:f>
              <c:strCache>
                <c:ptCount val="1"/>
                <c:pt idx="0">
                  <c:v>Отн. частота Wi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Лист2!$I$28:$I$35</c:f>
              <c:numCache>
                <c:formatCode>General</c:formatCode>
                <c:ptCount val="8"/>
                <c:pt idx="0">
                  <c:v>5.5</c:v>
                </c:pt>
                <c:pt idx="1">
                  <c:v>6.1369999999999996</c:v>
                </c:pt>
                <c:pt idx="2">
                  <c:v>6.774</c:v>
                </c:pt>
                <c:pt idx="3">
                  <c:v>7.4109999999999996</c:v>
                </c:pt>
                <c:pt idx="4">
                  <c:v>8.048</c:v>
                </c:pt>
                <c:pt idx="5">
                  <c:v>8.6850000000000005</c:v>
                </c:pt>
                <c:pt idx="6">
                  <c:v>9.3219999999999992</c:v>
                </c:pt>
                <c:pt idx="7">
                  <c:v>9.9589999999999996</c:v>
                </c:pt>
              </c:numCache>
            </c:numRef>
          </c:cat>
          <c:val>
            <c:numRef>
              <c:f>Лист2!$K$28:$K$35</c:f>
              <c:numCache>
                <c:formatCode>General</c:formatCode>
                <c:ptCount val="8"/>
                <c:pt idx="0">
                  <c:v>0.1</c:v>
                </c:pt>
                <c:pt idx="1">
                  <c:v>0.1167</c:v>
                </c:pt>
                <c:pt idx="2">
                  <c:v>0.16669999999999999</c:v>
                </c:pt>
                <c:pt idx="3">
                  <c:v>0.16669999999999999</c:v>
                </c:pt>
                <c:pt idx="4">
                  <c:v>0.2</c:v>
                </c:pt>
                <c:pt idx="5">
                  <c:v>0.1167</c:v>
                </c:pt>
                <c:pt idx="6">
                  <c:v>0.1167</c:v>
                </c:pt>
                <c:pt idx="7">
                  <c:v>1.67E-2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0-462B-8896-C4D07E46A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732063"/>
        <c:axId val="2089733311"/>
      </c:barChart>
      <c:catAx>
        <c:axId val="208973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733311"/>
        <c:crosses val="autoZero"/>
        <c:auto val="1"/>
        <c:lblAlgn val="ctr"/>
        <c:lblOffset val="100"/>
        <c:noMultiLvlLbl val="0"/>
      </c:catAx>
      <c:valAx>
        <c:axId val="208973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73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Гистограммма относительных частот случайной</a:t>
            </a:r>
            <a:endParaRPr lang="ru-RU" sz="1400">
              <a:effectLst/>
            </a:endParaRPr>
          </a:p>
          <a:p>
            <a:pPr>
              <a:defRPr/>
            </a:pPr>
            <a:r>
              <a:rPr lang="ru-RU" sz="1400" b="0" i="0" baseline="0">
                <a:effectLst/>
              </a:rPr>
              <a:t>величины </a:t>
            </a:r>
            <a:r>
              <a:rPr lang="en-US" sz="1400" b="0" i="0" baseline="0">
                <a:effectLst/>
              </a:rPr>
              <a:t>Y</a:t>
            </a:r>
            <a:r>
              <a:rPr lang="ru-RU" sz="1400" b="0" i="0" baseline="0">
                <a:effectLst/>
              </a:rPr>
              <a:t> (способ </a:t>
            </a:r>
            <a:r>
              <a:rPr lang="en-US" sz="1400" b="0" i="0" baseline="0">
                <a:effectLst/>
              </a:rPr>
              <a:t>2</a:t>
            </a:r>
            <a:r>
              <a:rPr lang="ru-RU" sz="1400" b="0" i="0" baseline="0">
                <a:effectLst/>
              </a:rPr>
              <a:t>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Лист2!$K$37</c:f>
              <c:strCache>
                <c:ptCount val="1"/>
                <c:pt idx="0">
                  <c:v>Отн. частота Wi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Лист2!$I$38:$I$45</c:f>
              <c:numCache>
                <c:formatCode>General</c:formatCode>
                <c:ptCount val="8"/>
                <c:pt idx="0">
                  <c:v>15</c:v>
                </c:pt>
                <c:pt idx="1">
                  <c:v>23.253</c:v>
                </c:pt>
                <c:pt idx="2">
                  <c:v>31.504999999999999</c:v>
                </c:pt>
                <c:pt idx="3">
                  <c:v>39.758000000000003</c:v>
                </c:pt>
                <c:pt idx="4">
                  <c:v>48.01</c:v>
                </c:pt>
                <c:pt idx="5">
                  <c:v>56.262999999999998</c:v>
                </c:pt>
                <c:pt idx="6">
                  <c:v>64.515000000000001</c:v>
                </c:pt>
                <c:pt idx="7">
                  <c:v>72.768000000000001</c:v>
                </c:pt>
              </c:numCache>
            </c:numRef>
          </c:cat>
          <c:val>
            <c:numRef>
              <c:f>Лист2!$K$38:$K$45</c:f>
              <c:numCache>
                <c:formatCode>General</c:formatCode>
                <c:ptCount val="8"/>
                <c:pt idx="0">
                  <c:v>0.05</c:v>
                </c:pt>
                <c:pt idx="1">
                  <c:v>0.1167</c:v>
                </c:pt>
                <c:pt idx="2">
                  <c:v>0.23330000000000001</c:v>
                </c:pt>
                <c:pt idx="3">
                  <c:v>0.25</c:v>
                </c:pt>
                <c:pt idx="4">
                  <c:v>0.2</c:v>
                </c:pt>
                <c:pt idx="5">
                  <c:v>0.1167</c:v>
                </c:pt>
                <c:pt idx="6">
                  <c:v>0</c:v>
                </c:pt>
                <c:pt idx="7">
                  <c:v>3.3300000000000003E-2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5-48C5-A301-D589570F3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954479"/>
        <c:axId val="2007956143"/>
      </c:barChart>
      <c:catAx>
        <c:axId val="200795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7956143"/>
        <c:crosses val="autoZero"/>
        <c:auto val="1"/>
        <c:lblAlgn val="ctr"/>
        <c:lblOffset val="100"/>
        <c:noMultiLvlLbl val="0"/>
      </c:catAx>
      <c:valAx>
        <c:axId val="200795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795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175260</xdr:colOff>
      <xdr:row>0</xdr:row>
      <xdr:rowOff>30480</xdr:rowOff>
    </xdr:from>
    <xdr:to>
      <xdr:col>22</xdr:col>
      <xdr:colOff>121920</xdr:colOff>
      <xdr:row>12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6D898D-7295-4607-9AA2-90C1EA8E4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160020</xdr:colOff>
      <xdr:row>13</xdr:row>
      <xdr:rowOff>118110</xdr:rowOff>
    </xdr:from>
    <xdr:to>
      <xdr:col>22</xdr:col>
      <xdr:colOff>106680</xdr:colOff>
      <xdr:row>26</xdr:row>
      <xdr:rowOff>167640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FB9DA13-E896-4A4F-B9FE-48B132BF7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1001486</xdr:colOff>
      <xdr:row>61</xdr:row>
      <xdr:rowOff>76841</xdr:rowOff>
    </xdr:from>
    <xdr:to>
      <xdr:col>21</xdr:col>
      <xdr:colOff>267021</xdr:colOff>
      <xdr:row>76</xdr:row>
      <xdr:rowOff>130629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9FA51D2-D9F3-45E4-8CEE-A5379F749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1012371</xdr:colOff>
      <xdr:row>78</xdr:row>
      <xdr:rowOff>141514</xdr:rowOff>
    </xdr:from>
    <xdr:to>
      <xdr:col>21</xdr:col>
      <xdr:colOff>185057</xdr:colOff>
      <xdr:row>93</xdr:row>
      <xdr:rowOff>108857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3368017-53BF-4261-9F7E-31C7708CC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312420</xdr:colOff>
      <xdr:row>8</xdr:row>
      <xdr:rowOff>377190</xdr:rowOff>
    </xdr:from>
    <xdr:to>
      <xdr:col>22</xdr:col>
      <xdr:colOff>7620</xdr:colOff>
      <xdr:row>13</xdr:row>
      <xdr:rowOff>339090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29B16C-EEB0-4452-8D80-C37F24C63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205740</xdr:colOff>
      <xdr:row>15</xdr:row>
      <xdr:rowOff>415290</xdr:rowOff>
    </xdr:from>
    <xdr:to>
      <xdr:col>21</xdr:col>
      <xdr:colOff>510540</xdr:colOff>
      <xdr:row>21</xdr:row>
      <xdr:rowOff>186690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B0B828F-F9B8-4C0B-99C9-DD68DB2C0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251460</xdr:colOff>
      <xdr:row>27</xdr:row>
      <xdr:rowOff>461010</xdr:rowOff>
    </xdr:from>
    <xdr:to>
      <xdr:col>21</xdr:col>
      <xdr:colOff>556260</xdr:colOff>
      <xdr:row>33</xdr:row>
      <xdr:rowOff>415290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1ABDE67-C74A-4EB8-A29C-714A3AC2E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365760</xdr:colOff>
      <xdr:row>36</xdr:row>
      <xdr:rowOff>575310</xdr:rowOff>
    </xdr:from>
    <xdr:to>
      <xdr:col>22</xdr:col>
      <xdr:colOff>60960</xdr:colOff>
      <xdr:row>39</xdr:row>
      <xdr:rowOff>552450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1384503-E154-4745-ACF4-F2441E66A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7"/>
  <sheetViews>
    <sheetView tabSelected="1" topLeftCell="A46" zoomScale="70" zoomScaleNormal="70" workbookViewId="0">
      <selection activeCell="E62" sqref="E62:E94"/>
    </sheetView>
  </sheetViews>
  <sheetFormatPr defaultRowHeight="14.4"/>
  <cols>
    <col min="7" max="7" width="29.6640625" bestFit="1" customWidth="1"/>
    <col min="8" max="8" width="14.77734375" bestFit="1" customWidth="1"/>
    <col min="9" max="9" width="12.44140625" bestFit="1" customWidth="1"/>
    <col min="10" max="10" width="19.33203125" bestFit="1" customWidth="1"/>
    <col min="11" max="11" width="19.33203125" customWidth="1"/>
    <col min="12" max="12" width="19.6640625" bestFit="1" customWidth="1"/>
    <col min="13" max="13" width="25.5546875" customWidth="1"/>
    <col min="14" max="14" width="24.77734375" bestFit="1" customWidth="1"/>
    <col min="15" max="15" width="25.44140625" bestFit="1" customWidth="1"/>
  </cols>
  <sheetData>
    <row r="1" spans="1:17">
      <c r="A1">
        <v>8.6</v>
      </c>
      <c r="B1">
        <v>43</v>
      </c>
      <c r="D1" cm="1">
        <f t="array" ref="D1:D60">_xlfn._xlws.SORT(A1:A60)</f>
        <v>5.5</v>
      </c>
      <c r="E1" cm="1">
        <f t="array" ref="E1:E60">_xlfn._xlws.SORT(B1:B60)</f>
        <v>15</v>
      </c>
      <c r="G1" s="4" t="s">
        <v>7</v>
      </c>
      <c r="H1" s="8">
        <v>60</v>
      </c>
      <c r="I1" s="2" t="s">
        <v>8</v>
      </c>
      <c r="J1" s="4" t="s">
        <v>1</v>
      </c>
      <c r="K1" s="4" t="s">
        <v>15</v>
      </c>
      <c r="L1" s="4" t="s">
        <v>16</v>
      </c>
      <c r="M1" s="4" t="s">
        <v>3</v>
      </c>
      <c r="N1" s="4" t="s">
        <v>4</v>
      </c>
      <c r="O1" s="4" t="s">
        <v>5</v>
      </c>
      <c r="P1" s="1"/>
      <c r="Q1" s="1"/>
    </row>
    <row r="2" spans="1:17">
      <c r="A2">
        <v>7.9</v>
      </c>
      <c r="B2">
        <v>53</v>
      </c>
      <c r="D2">
        <v>5.6</v>
      </c>
      <c r="E2">
        <v>18</v>
      </c>
      <c r="G2" s="8" t="s">
        <v>10</v>
      </c>
      <c r="H2" s="8">
        <f>MIN(A1:A60)</f>
        <v>5.5</v>
      </c>
      <c r="J2" s="5">
        <v>1</v>
      </c>
      <c r="K2" s="5">
        <f>H2</f>
        <v>5.5</v>
      </c>
      <c r="L2" s="6">
        <f>K2+$H$5</f>
        <v>6.1370331901452415</v>
      </c>
      <c r="M2" s="7">
        <f>AVERAGE(K2,L2)</f>
        <v>5.8185165950726212</v>
      </c>
      <c r="N2" s="8">
        <f>COUNTIFS(A$1:A$60, "&gt;="&amp;K2, A$1:A$60, "&lt;"&amp;L2)</f>
        <v>10</v>
      </c>
      <c r="O2" s="9">
        <f>N2/$H$1</f>
        <v>0.16666666666666666</v>
      </c>
    </row>
    <row r="3" spans="1:17">
      <c r="A3">
        <v>6.9</v>
      </c>
      <c r="B3">
        <v>43</v>
      </c>
      <c r="D3">
        <v>5.6</v>
      </c>
      <c r="E3">
        <v>18</v>
      </c>
      <c r="G3" s="8" t="s">
        <v>11</v>
      </c>
      <c r="H3" s="8">
        <f>MAX(A1:A60)</f>
        <v>9.9</v>
      </c>
      <c r="J3" s="5">
        <v>2</v>
      </c>
      <c r="K3" s="10">
        <f>L2</f>
        <v>6.1370331901452415</v>
      </c>
      <c r="L3" s="6">
        <f t="shared" ref="L3:L8" si="0">K3+$H$5</f>
        <v>6.774066380290483</v>
      </c>
      <c r="M3" s="7">
        <f t="shared" ref="M3:M8" si="1">AVERAGE(K3,L3)</f>
        <v>6.4555497852178618</v>
      </c>
      <c r="N3" s="8">
        <f t="shared" ref="N3:N8" si="2">COUNTIFS(A$1:A$60, "&gt;="&amp;K3, A$1:A$60, "&lt;"&amp;L3)</f>
        <v>6</v>
      </c>
      <c r="O3" s="9">
        <f t="shared" ref="O3:O8" si="3">N3/$H$1</f>
        <v>0.1</v>
      </c>
    </row>
    <row r="4" spans="1:17">
      <c r="A4">
        <v>7</v>
      </c>
      <c r="B4">
        <v>27</v>
      </c>
      <c r="D4">
        <v>5.7</v>
      </c>
      <c r="E4">
        <v>21</v>
      </c>
      <c r="G4" s="12" t="s">
        <v>12</v>
      </c>
      <c r="H4" s="8">
        <f>H3-H2</f>
        <v>4.4000000000000004</v>
      </c>
      <c r="J4" s="5">
        <v>3</v>
      </c>
      <c r="K4" s="10">
        <f t="shared" ref="K4:K8" si="4">L3</f>
        <v>6.774066380290483</v>
      </c>
      <c r="L4" s="6">
        <f t="shared" si="0"/>
        <v>7.4110995704357245</v>
      </c>
      <c r="M4" s="7">
        <f t="shared" si="1"/>
        <v>7.0925829753631042</v>
      </c>
      <c r="N4" s="8">
        <f t="shared" si="2"/>
        <v>13</v>
      </c>
      <c r="O4" s="9">
        <f t="shared" si="3"/>
        <v>0.21666666666666667</v>
      </c>
    </row>
    <row r="5" spans="1:17">
      <c r="A5">
        <v>6.5</v>
      </c>
      <c r="B5">
        <v>72</v>
      </c>
      <c r="D5">
        <v>5.8</v>
      </c>
      <c r="E5">
        <v>24</v>
      </c>
      <c r="G5" s="8" t="s">
        <v>13</v>
      </c>
      <c r="H5" s="13">
        <f>H4/H6</f>
        <v>0.63703319014524151</v>
      </c>
      <c r="J5" s="5">
        <v>4</v>
      </c>
      <c r="K5" s="10">
        <f t="shared" si="4"/>
        <v>7.4110995704357245</v>
      </c>
      <c r="L5" s="6">
        <f t="shared" si="0"/>
        <v>8.048132760580966</v>
      </c>
      <c r="M5" s="7">
        <f t="shared" si="1"/>
        <v>7.7296161655083448</v>
      </c>
      <c r="N5" s="8">
        <f t="shared" si="2"/>
        <v>11</v>
      </c>
      <c r="O5" s="9">
        <f t="shared" si="3"/>
        <v>0.18333333333333332</v>
      </c>
    </row>
    <row r="6" spans="1:17">
      <c r="A6">
        <v>7.4</v>
      </c>
      <c r="B6">
        <v>38</v>
      </c>
      <c r="D6">
        <v>5.8</v>
      </c>
      <c r="E6">
        <v>25</v>
      </c>
      <c r="G6" s="8" t="s">
        <v>14</v>
      </c>
      <c r="H6" s="13">
        <f>1+3.322*LOG10(H$1)</f>
        <v>6.9070184537744641</v>
      </c>
      <c r="J6" s="5">
        <v>5</v>
      </c>
      <c r="K6" s="10">
        <f t="shared" si="4"/>
        <v>8.048132760580966</v>
      </c>
      <c r="L6" s="6">
        <f t="shared" si="0"/>
        <v>8.6851659507262085</v>
      </c>
      <c r="M6" s="7">
        <f t="shared" si="1"/>
        <v>8.3666493556535873</v>
      </c>
      <c r="N6" s="8">
        <f t="shared" si="2"/>
        <v>8</v>
      </c>
      <c r="O6" s="9">
        <f t="shared" si="3"/>
        <v>0.13333333333333333</v>
      </c>
    </row>
    <row r="7" spans="1:17">
      <c r="A7">
        <v>5.5</v>
      </c>
      <c r="B7">
        <v>26</v>
      </c>
      <c r="D7">
        <v>5.9</v>
      </c>
      <c r="E7">
        <v>26</v>
      </c>
      <c r="J7" s="5">
        <v>6</v>
      </c>
      <c r="K7" s="10">
        <f t="shared" si="4"/>
        <v>8.6851659507262085</v>
      </c>
      <c r="L7" s="6">
        <f t="shared" si="0"/>
        <v>9.3221991408714509</v>
      </c>
      <c r="M7" s="7">
        <f t="shared" si="1"/>
        <v>9.0036825457988297</v>
      </c>
      <c r="N7" s="8">
        <f t="shared" si="2"/>
        <v>7</v>
      </c>
      <c r="O7" s="9">
        <f t="shared" si="3"/>
        <v>0.11666666666666667</v>
      </c>
    </row>
    <row r="8" spans="1:17">
      <c r="A8">
        <v>5.7</v>
      </c>
      <c r="B8">
        <v>43</v>
      </c>
      <c r="D8">
        <v>6</v>
      </c>
      <c r="E8">
        <v>26</v>
      </c>
      <c r="J8" s="5">
        <v>7</v>
      </c>
      <c r="K8" s="10">
        <f t="shared" si="4"/>
        <v>9.3221991408714509</v>
      </c>
      <c r="L8" s="6">
        <f t="shared" si="0"/>
        <v>9.9592323310166933</v>
      </c>
      <c r="M8" s="7">
        <f t="shared" si="1"/>
        <v>9.6407157359440721</v>
      </c>
      <c r="N8" s="8">
        <f t="shared" si="2"/>
        <v>5</v>
      </c>
      <c r="O8" s="9">
        <f t="shared" si="3"/>
        <v>8.3333333333333329E-2</v>
      </c>
    </row>
    <row r="9" spans="1:17">
      <c r="A9">
        <v>7.8</v>
      </c>
      <c r="B9">
        <v>41</v>
      </c>
      <c r="D9">
        <v>6.1</v>
      </c>
      <c r="E9">
        <v>27</v>
      </c>
      <c r="J9" s="4" t="s">
        <v>6</v>
      </c>
      <c r="K9" s="4"/>
      <c r="L9" s="4"/>
      <c r="M9" s="4"/>
      <c r="N9" s="4">
        <f>SUM(N2:N8)</f>
        <v>60</v>
      </c>
      <c r="O9" s="11">
        <f>SUM(O2:O8)</f>
        <v>1</v>
      </c>
    </row>
    <row r="10" spans="1:17">
      <c r="A10">
        <v>6.1</v>
      </c>
      <c r="B10">
        <v>21</v>
      </c>
      <c r="D10">
        <v>6.1</v>
      </c>
      <c r="E10">
        <v>27</v>
      </c>
    </row>
    <row r="11" spans="1:17">
      <c r="A11">
        <v>8.9</v>
      </c>
      <c r="B11">
        <v>46</v>
      </c>
      <c r="D11">
        <v>6.2</v>
      </c>
      <c r="E11">
        <v>28</v>
      </c>
    </row>
    <row r="12" spans="1:17">
      <c r="A12">
        <v>7.3</v>
      </c>
      <c r="B12">
        <v>51</v>
      </c>
      <c r="D12">
        <v>6.3</v>
      </c>
      <c r="E12">
        <v>28</v>
      </c>
      <c r="I12" s="2" t="s">
        <v>9</v>
      </c>
      <c r="J12" s="4" t="s">
        <v>1</v>
      </c>
      <c r="K12" s="4"/>
      <c r="L12" s="4" t="s">
        <v>2</v>
      </c>
      <c r="M12" s="4" t="s">
        <v>3</v>
      </c>
      <c r="N12" s="4" t="s">
        <v>4</v>
      </c>
      <c r="O12" s="4" t="s">
        <v>5</v>
      </c>
    </row>
    <row r="13" spans="1:17">
      <c r="A13">
        <v>6.7</v>
      </c>
      <c r="B13">
        <v>27</v>
      </c>
      <c r="D13">
        <v>6.3</v>
      </c>
      <c r="E13">
        <v>29</v>
      </c>
      <c r="G13" s="8" t="s">
        <v>32</v>
      </c>
      <c r="H13" s="8">
        <f>MIN(B1:B60)</f>
        <v>15</v>
      </c>
      <c r="J13" s="5">
        <v>1</v>
      </c>
      <c r="K13" s="10">
        <f>H13</f>
        <v>15</v>
      </c>
      <c r="L13" s="6">
        <f>K13+$H$16</f>
        <v>23.252475417790627</v>
      </c>
      <c r="M13" s="7">
        <f>AVERAGE(K13,L13)</f>
        <v>19.126237708895314</v>
      </c>
      <c r="N13" s="8">
        <f>COUNTIFS(B$1:B$60, "&gt;="&amp;K13, B$1:B$60, "&lt;"&amp;L13)</f>
        <v>4</v>
      </c>
      <c r="O13" s="8">
        <f>N13/H$1</f>
        <v>6.6666666666666666E-2</v>
      </c>
    </row>
    <row r="14" spans="1:17">
      <c r="A14">
        <v>7.2</v>
      </c>
      <c r="B14">
        <v>54</v>
      </c>
      <c r="D14">
        <v>6.5</v>
      </c>
      <c r="E14">
        <v>29</v>
      </c>
      <c r="G14" s="8" t="s">
        <v>33</v>
      </c>
      <c r="H14" s="8">
        <f>MAX(B1:B60)</f>
        <v>72</v>
      </c>
      <c r="J14" s="5">
        <v>2</v>
      </c>
      <c r="K14" s="10">
        <f>L13</f>
        <v>23.252475417790627</v>
      </c>
      <c r="L14" s="6">
        <f>K14+$H$16</f>
        <v>31.504950835581255</v>
      </c>
      <c r="M14" s="7">
        <f t="shared" ref="M14:M19" si="5">AVERAGE(K14,L14)</f>
        <v>27.378713126685941</v>
      </c>
      <c r="N14" s="8">
        <f t="shared" ref="N14:N19" si="6">COUNTIFS(B$1:B$60, "&gt;="&amp;K14, B$1:B$60, "&lt;"&amp;L14)</f>
        <v>14</v>
      </c>
      <c r="O14" s="8">
        <f t="shared" ref="O14:O19" si="7">N14/H$1</f>
        <v>0.23333333333333334</v>
      </c>
    </row>
    <row r="15" spans="1:17">
      <c r="A15">
        <v>5.8</v>
      </c>
      <c r="B15">
        <v>29</v>
      </c>
      <c r="D15">
        <v>6.5</v>
      </c>
      <c r="E15">
        <v>30</v>
      </c>
      <c r="G15" s="12" t="s">
        <v>12</v>
      </c>
      <c r="H15" s="8">
        <f>H14-H13</f>
        <v>57</v>
      </c>
      <c r="J15" s="5">
        <v>3</v>
      </c>
      <c r="K15" s="10">
        <f t="shared" ref="K15:K19" si="8">L14</f>
        <v>31.504950835581255</v>
      </c>
      <c r="L15" s="6">
        <f t="shared" ref="L14:L19" si="9">K15+$H$16</f>
        <v>39.757426253371882</v>
      </c>
      <c r="M15" s="7">
        <f t="shared" si="5"/>
        <v>35.631188544476572</v>
      </c>
      <c r="N15" s="8">
        <f t="shared" si="6"/>
        <v>9</v>
      </c>
      <c r="O15" s="8">
        <f t="shared" si="7"/>
        <v>0.15</v>
      </c>
    </row>
    <row r="16" spans="1:17">
      <c r="A16">
        <v>7.2</v>
      </c>
      <c r="B16">
        <v>35</v>
      </c>
      <c r="D16">
        <v>6.7</v>
      </c>
      <c r="E16">
        <v>30</v>
      </c>
      <c r="G16" s="8" t="s">
        <v>13</v>
      </c>
      <c r="H16" s="13">
        <f>H15/H17</f>
        <v>8.2524754177906274</v>
      </c>
      <c r="J16" s="5">
        <v>4</v>
      </c>
      <c r="K16" s="10">
        <f t="shared" si="8"/>
        <v>39.757426253371882</v>
      </c>
      <c r="L16" s="6">
        <f t="shared" si="9"/>
        <v>48.00990167116251</v>
      </c>
      <c r="M16" s="7">
        <f t="shared" si="5"/>
        <v>43.883663962267192</v>
      </c>
      <c r="N16" s="8">
        <f t="shared" si="6"/>
        <v>17</v>
      </c>
      <c r="O16" s="8">
        <f t="shared" si="7"/>
        <v>0.28333333333333333</v>
      </c>
    </row>
    <row r="17" spans="1:15">
      <c r="A17">
        <v>6.2</v>
      </c>
      <c r="B17">
        <v>33</v>
      </c>
      <c r="D17">
        <v>6.8</v>
      </c>
      <c r="E17">
        <v>30</v>
      </c>
      <c r="G17" s="8" t="s">
        <v>14</v>
      </c>
      <c r="H17" s="13">
        <f>1+3.322*LOG10(H$1)</f>
        <v>6.9070184537744641</v>
      </c>
      <c r="J17" s="5">
        <v>5</v>
      </c>
      <c r="K17" s="10">
        <f t="shared" si="8"/>
        <v>48.00990167116251</v>
      </c>
      <c r="L17" s="6">
        <f t="shared" si="9"/>
        <v>56.262377088953137</v>
      </c>
      <c r="M17" s="7">
        <f t="shared" si="5"/>
        <v>52.136139380057827</v>
      </c>
      <c r="N17" s="8">
        <f t="shared" si="6"/>
        <v>13</v>
      </c>
      <c r="O17" s="8">
        <f t="shared" si="7"/>
        <v>0.21666666666666667</v>
      </c>
    </row>
    <row r="18" spans="1:15">
      <c r="A18">
        <v>7.5</v>
      </c>
      <c r="B18">
        <v>38</v>
      </c>
      <c r="D18">
        <v>6.9</v>
      </c>
      <c r="E18">
        <v>31</v>
      </c>
      <c r="J18" s="5">
        <v>6</v>
      </c>
      <c r="K18" s="10">
        <f t="shared" si="8"/>
        <v>56.262377088953137</v>
      </c>
      <c r="L18" s="6">
        <f t="shared" si="9"/>
        <v>64.514852506743765</v>
      </c>
      <c r="M18" s="7">
        <f t="shared" si="5"/>
        <v>60.388614797848447</v>
      </c>
      <c r="N18" s="8">
        <f t="shared" si="6"/>
        <v>1</v>
      </c>
      <c r="O18" s="8">
        <f t="shared" si="7"/>
        <v>1.6666666666666666E-2</v>
      </c>
    </row>
    <row r="19" spans="1:15">
      <c r="A19">
        <v>9.1999999999999993</v>
      </c>
      <c r="B19">
        <v>55</v>
      </c>
      <c r="D19">
        <v>6.9</v>
      </c>
      <c r="E19">
        <v>32</v>
      </c>
      <c r="J19" s="5">
        <v>7</v>
      </c>
      <c r="K19" s="10">
        <f t="shared" si="8"/>
        <v>64.514852506743765</v>
      </c>
      <c r="L19" s="6">
        <f t="shared" si="9"/>
        <v>72.767327924534385</v>
      </c>
      <c r="M19" s="7">
        <f t="shared" si="5"/>
        <v>68.641090215639082</v>
      </c>
      <c r="N19" s="8">
        <f t="shared" si="6"/>
        <v>2</v>
      </c>
      <c r="O19" s="8">
        <f t="shared" si="7"/>
        <v>3.3333333333333333E-2</v>
      </c>
    </row>
    <row r="20" spans="1:15">
      <c r="A20">
        <v>5.9</v>
      </c>
      <c r="B20">
        <v>30</v>
      </c>
      <c r="D20">
        <v>6.9</v>
      </c>
      <c r="E20">
        <v>32</v>
      </c>
      <c r="J20" s="4" t="s">
        <v>6</v>
      </c>
      <c r="K20" s="4"/>
      <c r="L20" s="12" t="s">
        <v>0</v>
      </c>
      <c r="M20" s="8"/>
      <c r="N20" s="4">
        <f>SUM(N13:N19)</f>
        <v>60</v>
      </c>
      <c r="O20" s="4">
        <f>SUM(O13:O19)</f>
        <v>1</v>
      </c>
    </row>
    <row r="21" spans="1:15">
      <c r="A21">
        <v>7.9</v>
      </c>
      <c r="B21">
        <v>45</v>
      </c>
      <c r="D21">
        <v>7</v>
      </c>
      <c r="E21">
        <v>33</v>
      </c>
    </row>
    <row r="22" spans="1:15">
      <c r="A22">
        <v>7.3</v>
      </c>
      <c r="B22">
        <v>33</v>
      </c>
      <c r="D22">
        <v>7</v>
      </c>
      <c r="E22">
        <v>33</v>
      </c>
    </row>
    <row r="23" spans="1:15">
      <c r="A23">
        <v>8.9</v>
      </c>
      <c r="B23">
        <v>43</v>
      </c>
      <c r="D23">
        <v>7</v>
      </c>
      <c r="E23">
        <v>34</v>
      </c>
      <c r="G23" s="4" t="s">
        <v>18</v>
      </c>
      <c r="H23" s="4" t="s">
        <v>19</v>
      </c>
      <c r="I23" s="4" t="s">
        <v>20</v>
      </c>
    </row>
    <row r="24" spans="1:15">
      <c r="A24">
        <v>9.4</v>
      </c>
      <c r="B24">
        <v>53</v>
      </c>
      <c r="D24">
        <v>7.2</v>
      </c>
      <c r="E24">
        <v>35</v>
      </c>
      <c r="G24" s="14" t="s">
        <v>21</v>
      </c>
      <c r="H24" s="7">
        <f>AVERAGE(A1:A60)</f>
        <v>7.5400000000000036</v>
      </c>
      <c r="I24" s="7">
        <f>AVERAGE(B1:B60)</f>
        <v>39.783333333333331</v>
      </c>
    </row>
    <row r="25" spans="1:15">
      <c r="A25">
        <v>9.5</v>
      </c>
      <c r="B25">
        <v>52</v>
      </c>
      <c r="D25">
        <v>7.2</v>
      </c>
      <c r="E25">
        <v>38</v>
      </c>
      <c r="G25" s="4" t="s">
        <v>22</v>
      </c>
      <c r="H25" s="15">
        <f>_xlfn.VAR.S(A1:A60)</f>
        <v>1.4387118644067414</v>
      </c>
      <c r="I25" s="15">
        <f>_xlfn.VAR.S(B1:B60)</f>
        <v>151.83361581920906</v>
      </c>
    </row>
    <row r="26" spans="1:15">
      <c r="A26">
        <v>8.9</v>
      </c>
      <c r="B26">
        <v>51</v>
      </c>
      <c r="D26">
        <v>7.2</v>
      </c>
      <c r="E26">
        <v>38</v>
      </c>
      <c r="G26" s="14" t="s">
        <v>23</v>
      </c>
      <c r="H26" s="15">
        <f>_xlfn.STDEV.S(A1:A60)</f>
        <v>1.1994631567525287</v>
      </c>
      <c r="I26" s="15">
        <f>_xlfn.STDEV.S(B1:B60)</f>
        <v>12.322078388778779</v>
      </c>
    </row>
    <row r="27" spans="1:15">
      <c r="A27">
        <v>7</v>
      </c>
      <c r="B27">
        <v>32</v>
      </c>
      <c r="D27">
        <v>7.3</v>
      </c>
      <c r="E27">
        <v>38</v>
      </c>
      <c r="G27" s="14" t="s">
        <v>24</v>
      </c>
      <c r="H27" s="7">
        <f>H26/H24</f>
        <v>0.15907999426426103</v>
      </c>
      <c r="I27" s="7">
        <f>I26/I24</f>
        <v>0.30972966205560404</v>
      </c>
    </row>
    <row r="28" spans="1:15">
      <c r="A28">
        <v>9.3000000000000007</v>
      </c>
      <c r="B28">
        <v>60</v>
      </c>
      <c r="D28">
        <v>7.3</v>
      </c>
      <c r="E28">
        <v>40</v>
      </c>
      <c r="G28" s="4" t="s">
        <v>25</v>
      </c>
      <c r="H28" s="7">
        <f>SKEW(A1:A60)</f>
        <v>9.4045410654124056E-2</v>
      </c>
      <c r="I28" s="7">
        <f>SKEW(B1:B60)</f>
        <v>0.261550009662459</v>
      </c>
    </row>
    <row r="29" spans="1:15">
      <c r="A29">
        <v>7</v>
      </c>
      <c r="B29">
        <v>25</v>
      </c>
      <c r="D29">
        <v>7.4</v>
      </c>
      <c r="E29">
        <v>40</v>
      </c>
      <c r="G29" s="14" t="s">
        <v>26</v>
      </c>
      <c r="H29" s="7">
        <f>KURT(A1:A60)</f>
        <v>-0.94303111549763008</v>
      </c>
      <c r="I29" s="7">
        <f>KURT(B1:B60)</f>
        <v>-0.1066481555955936</v>
      </c>
    </row>
    <row r="30" spans="1:15">
      <c r="A30">
        <v>9.6</v>
      </c>
      <c r="B30">
        <v>70</v>
      </c>
      <c r="D30">
        <v>7.5</v>
      </c>
      <c r="E30">
        <v>40</v>
      </c>
      <c r="G30" s="14" t="s">
        <v>27</v>
      </c>
      <c r="H30" s="7">
        <f>MEDIAN(A1:A60)</f>
        <v>7.55</v>
      </c>
      <c r="I30" s="7">
        <f>MEDIAN(B1:B60)</f>
        <v>40.5</v>
      </c>
    </row>
    <row r="31" spans="1:15">
      <c r="A31">
        <v>8.1999999999999993</v>
      </c>
      <c r="B31">
        <v>44</v>
      </c>
      <c r="D31">
        <v>7.6</v>
      </c>
      <c r="E31">
        <v>41</v>
      </c>
      <c r="G31" s="14" t="s">
        <v>28</v>
      </c>
      <c r="H31" s="7">
        <f>_xlfn.MODE.SNGL(A1:A60)</f>
        <v>8.9</v>
      </c>
      <c r="I31" s="7">
        <f>_xlfn.MODE.SNGL(B1:B60)</f>
        <v>43</v>
      </c>
    </row>
    <row r="32" spans="1:15">
      <c r="A32">
        <v>8</v>
      </c>
      <c r="B32">
        <v>26</v>
      </c>
      <c r="D32">
        <v>7.6</v>
      </c>
      <c r="E32">
        <v>41</v>
      </c>
      <c r="G32" s="8"/>
      <c r="H32" s="8"/>
      <c r="I32" s="8"/>
    </row>
    <row r="33" spans="1:29">
      <c r="A33">
        <v>9.6</v>
      </c>
      <c r="B33">
        <v>51</v>
      </c>
      <c r="D33">
        <v>7.7</v>
      </c>
      <c r="E33">
        <v>41</v>
      </c>
      <c r="G33" s="14" t="s">
        <v>29</v>
      </c>
      <c r="H33" s="16">
        <f>CORREL(A1:A60, B1:B60)</f>
        <v>0.62719258271055656</v>
      </c>
      <c r="I33" s="8"/>
    </row>
    <row r="34" spans="1:29">
      <c r="A34">
        <v>6.9</v>
      </c>
      <c r="B34">
        <v>18</v>
      </c>
      <c r="D34">
        <v>7.8</v>
      </c>
      <c r="E34">
        <v>42</v>
      </c>
    </row>
    <row r="35" spans="1:29">
      <c r="A35">
        <v>8.9</v>
      </c>
      <c r="B35">
        <v>41</v>
      </c>
      <c r="D35">
        <v>7.8</v>
      </c>
      <c r="E35">
        <v>43</v>
      </c>
      <c r="R35" s="3" t="s">
        <v>30</v>
      </c>
      <c r="S35" s="3" t="s">
        <v>31</v>
      </c>
      <c r="T35" s="3" t="s">
        <v>30</v>
      </c>
      <c r="U35" s="3" t="s">
        <v>31</v>
      </c>
      <c r="V35" s="3" t="s">
        <v>30</v>
      </c>
      <c r="W35" s="3" t="s">
        <v>31</v>
      </c>
      <c r="X35" s="3" t="s">
        <v>30</v>
      </c>
      <c r="Y35" s="3" t="s">
        <v>31</v>
      </c>
    </row>
    <row r="36" spans="1:29">
      <c r="A36">
        <v>9.9</v>
      </c>
      <c r="B36">
        <v>55</v>
      </c>
      <c r="D36">
        <v>7.8</v>
      </c>
      <c r="E36">
        <v>43</v>
      </c>
      <c r="R36" s="3">
        <v>8.6</v>
      </c>
      <c r="S36" s="3">
        <v>43</v>
      </c>
      <c r="T36" s="3">
        <v>8.9</v>
      </c>
      <c r="U36" s="3">
        <v>46</v>
      </c>
      <c r="V36" s="3">
        <v>7.9</v>
      </c>
      <c r="W36" s="3">
        <v>45</v>
      </c>
      <c r="X36" s="3">
        <v>8.1999999999999993</v>
      </c>
      <c r="Y36" s="3">
        <v>44</v>
      </c>
      <c r="Z36">
        <v>6</v>
      </c>
      <c r="AA36">
        <v>30</v>
      </c>
      <c r="AB36">
        <v>5.6</v>
      </c>
      <c r="AC36">
        <v>15</v>
      </c>
    </row>
    <row r="37" spans="1:29">
      <c r="A37">
        <v>6.5</v>
      </c>
      <c r="B37">
        <v>29</v>
      </c>
      <c r="D37">
        <v>7.9</v>
      </c>
      <c r="E37">
        <v>43</v>
      </c>
      <c r="R37" s="3">
        <v>7.9</v>
      </c>
      <c r="S37" s="3">
        <v>53</v>
      </c>
      <c r="T37" s="3">
        <v>7.3</v>
      </c>
      <c r="U37" s="3">
        <v>51</v>
      </c>
      <c r="V37" s="3">
        <v>7.3</v>
      </c>
      <c r="W37" s="3">
        <v>33</v>
      </c>
      <c r="X37" s="3">
        <v>8</v>
      </c>
      <c r="Y37" s="3">
        <v>26</v>
      </c>
      <c r="Z37">
        <v>8</v>
      </c>
      <c r="AA37">
        <v>46</v>
      </c>
      <c r="AB37">
        <v>8.3000000000000007</v>
      </c>
      <c r="AC37">
        <v>47</v>
      </c>
    </row>
    <row r="38" spans="1:29">
      <c r="A38">
        <v>7.6</v>
      </c>
      <c r="B38">
        <v>31</v>
      </c>
      <c r="D38">
        <v>7.9</v>
      </c>
      <c r="E38">
        <v>43</v>
      </c>
      <c r="R38" s="3">
        <v>6.9</v>
      </c>
      <c r="S38" s="3">
        <v>43</v>
      </c>
      <c r="T38" s="3">
        <v>6.7</v>
      </c>
      <c r="U38" s="3">
        <v>27</v>
      </c>
      <c r="V38" s="3">
        <v>8.9</v>
      </c>
      <c r="W38" s="3">
        <v>43</v>
      </c>
      <c r="X38" s="3">
        <v>9.6</v>
      </c>
      <c r="Y38" s="3">
        <v>51</v>
      </c>
      <c r="Z38">
        <v>5.6</v>
      </c>
      <c r="AA38">
        <v>32</v>
      </c>
      <c r="AB38">
        <v>6.1</v>
      </c>
      <c r="AC38">
        <v>34</v>
      </c>
    </row>
    <row r="39" spans="1:29">
      <c r="A39">
        <v>8.1</v>
      </c>
      <c r="B39">
        <v>42</v>
      </c>
      <c r="D39">
        <v>8</v>
      </c>
      <c r="E39">
        <v>43</v>
      </c>
      <c r="R39" s="3">
        <v>7</v>
      </c>
      <c r="S39" s="3">
        <v>27</v>
      </c>
      <c r="T39" s="3">
        <v>7.2</v>
      </c>
      <c r="U39" s="3">
        <v>54</v>
      </c>
      <c r="V39" s="3">
        <v>9.4</v>
      </c>
      <c r="W39" s="3">
        <v>53</v>
      </c>
      <c r="X39" s="3">
        <v>6.9</v>
      </c>
      <c r="Y39" s="3">
        <v>18</v>
      </c>
      <c r="Z39">
        <v>7.8</v>
      </c>
      <c r="AA39">
        <v>50</v>
      </c>
      <c r="AB39">
        <v>9.1</v>
      </c>
      <c r="AC39">
        <v>53</v>
      </c>
    </row>
    <row r="40" spans="1:29">
      <c r="A40">
        <v>6.9</v>
      </c>
      <c r="B40">
        <v>28</v>
      </c>
      <c r="D40">
        <v>8</v>
      </c>
      <c r="E40">
        <v>44</v>
      </c>
      <c r="R40" s="3">
        <v>6.5</v>
      </c>
      <c r="S40" s="3">
        <v>72</v>
      </c>
      <c r="T40" s="3">
        <v>5.8</v>
      </c>
      <c r="U40" s="3">
        <v>29</v>
      </c>
      <c r="V40" s="3">
        <v>9.5</v>
      </c>
      <c r="W40" s="3">
        <v>52</v>
      </c>
      <c r="X40" s="3">
        <v>8.9</v>
      </c>
      <c r="Y40" s="3">
        <v>41</v>
      </c>
      <c r="Z40">
        <v>7.7</v>
      </c>
      <c r="AA40">
        <v>40</v>
      </c>
      <c r="AB40">
        <v>8.1999999999999993</v>
      </c>
      <c r="AC40">
        <v>24</v>
      </c>
    </row>
    <row r="41" spans="1:29">
      <c r="A41">
        <v>6</v>
      </c>
      <c r="B41">
        <v>30</v>
      </c>
      <c r="D41">
        <v>8.1</v>
      </c>
      <c r="E41">
        <v>45</v>
      </c>
      <c r="R41" s="3">
        <v>7.4</v>
      </c>
      <c r="S41" s="3">
        <v>38</v>
      </c>
      <c r="T41" s="3">
        <v>7.2</v>
      </c>
      <c r="U41" s="3">
        <v>35</v>
      </c>
      <c r="V41" s="3">
        <v>8.9</v>
      </c>
      <c r="W41" s="3">
        <v>51</v>
      </c>
      <c r="X41" s="3">
        <v>9.9</v>
      </c>
      <c r="Y41" s="3">
        <v>55</v>
      </c>
      <c r="Z41">
        <v>8.6</v>
      </c>
      <c r="AA41">
        <v>52</v>
      </c>
      <c r="AB41">
        <v>7.6</v>
      </c>
      <c r="AC41">
        <v>40</v>
      </c>
    </row>
    <row r="42" spans="1:29">
      <c r="A42">
        <v>8</v>
      </c>
      <c r="B42">
        <v>46</v>
      </c>
      <c r="D42">
        <v>8.1999999999999993</v>
      </c>
      <c r="E42">
        <v>46</v>
      </c>
      <c r="R42" s="3">
        <v>5.5</v>
      </c>
      <c r="S42" s="3">
        <v>26</v>
      </c>
      <c r="T42" s="3">
        <v>6.2</v>
      </c>
      <c r="U42" s="3">
        <v>33</v>
      </c>
      <c r="V42" s="3">
        <v>7</v>
      </c>
      <c r="W42" s="3">
        <v>32</v>
      </c>
      <c r="X42" s="3">
        <v>6.5</v>
      </c>
      <c r="Y42" s="3">
        <v>29</v>
      </c>
      <c r="Z42">
        <v>6.3</v>
      </c>
      <c r="AA42">
        <v>28</v>
      </c>
      <c r="AB42">
        <v>6.8</v>
      </c>
      <c r="AC42">
        <v>30</v>
      </c>
    </row>
    <row r="43" spans="1:29">
      <c r="A43">
        <v>5.6</v>
      </c>
      <c r="B43">
        <v>32</v>
      </c>
      <c r="D43">
        <v>8.1999999999999993</v>
      </c>
      <c r="E43">
        <v>46</v>
      </c>
      <c r="R43" s="3">
        <v>5.7</v>
      </c>
      <c r="S43" s="3">
        <v>43</v>
      </c>
      <c r="T43" s="3">
        <v>7.5</v>
      </c>
      <c r="U43" s="3">
        <v>38</v>
      </c>
      <c r="V43" s="3">
        <v>9.3000000000000007</v>
      </c>
      <c r="W43" s="3">
        <v>60</v>
      </c>
      <c r="X43" s="3">
        <v>7.6</v>
      </c>
      <c r="Y43" s="3">
        <v>31</v>
      </c>
      <c r="Z43">
        <v>8.6</v>
      </c>
      <c r="AA43">
        <v>43</v>
      </c>
      <c r="AB43">
        <v>5.8</v>
      </c>
      <c r="AC43">
        <v>41</v>
      </c>
    </row>
    <row r="44" spans="1:29">
      <c r="A44">
        <v>7.8</v>
      </c>
      <c r="B44">
        <v>50</v>
      </c>
      <c r="D44">
        <v>8.3000000000000007</v>
      </c>
      <c r="E44">
        <v>47</v>
      </c>
      <c r="M44" t="s">
        <v>17</v>
      </c>
      <c r="R44" s="3">
        <v>7.8</v>
      </c>
      <c r="S44" s="3">
        <v>41</v>
      </c>
      <c r="T44" s="3">
        <v>9.1999999999999993</v>
      </c>
      <c r="U44" s="3">
        <v>55</v>
      </c>
      <c r="V44" s="3">
        <v>7</v>
      </c>
      <c r="W44" s="3">
        <v>25</v>
      </c>
      <c r="X44" s="3">
        <v>8.1</v>
      </c>
      <c r="Y44" s="3">
        <v>42</v>
      </c>
      <c r="Z44">
        <v>7.8</v>
      </c>
      <c r="AA44">
        <v>40</v>
      </c>
      <c r="AB44">
        <v>7.2</v>
      </c>
      <c r="AC44">
        <v>18</v>
      </c>
    </row>
    <row r="45" spans="1:29">
      <c r="A45">
        <v>7.7</v>
      </c>
      <c r="B45">
        <v>40</v>
      </c>
      <c r="D45">
        <v>8.3000000000000007</v>
      </c>
      <c r="E45">
        <v>50</v>
      </c>
      <c r="R45" s="3">
        <v>6.1</v>
      </c>
      <c r="S45" s="3">
        <v>21</v>
      </c>
      <c r="T45" s="3">
        <v>5.9</v>
      </c>
      <c r="U45" s="3">
        <v>30</v>
      </c>
      <c r="V45" s="3">
        <v>9.6</v>
      </c>
      <c r="W45" s="3">
        <v>70</v>
      </c>
      <c r="X45" s="3">
        <v>6.9</v>
      </c>
      <c r="Y45" s="3">
        <v>28</v>
      </c>
      <c r="Z45">
        <v>8.3000000000000007</v>
      </c>
      <c r="AA45">
        <v>52</v>
      </c>
      <c r="AB45">
        <v>6.3</v>
      </c>
      <c r="AC45">
        <v>38</v>
      </c>
    </row>
    <row r="46" spans="1:29">
      <c r="A46">
        <v>8.6</v>
      </c>
      <c r="B46">
        <v>52</v>
      </c>
      <c r="D46">
        <v>8.6</v>
      </c>
      <c r="E46">
        <v>51</v>
      </c>
    </row>
    <row r="47" spans="1:29">
      <c r="A47">
        <v>6.3</v>
      </c>
      <c r="B47">
        <v>28</v>
      </c>
      <c r="D47">
        <v>8.6</v>
      </c>
      <c r="E47">
        <v>51</v>
      </c>
    </row>
    <row r="48" spans="1:29">
      <c r="A48">
        <v>8.6</v>
      </c>
      <c r="B48">
        <v>43</v>
      </c>
      <c r="D48">
        <v>8.6</v>
      </c>
      <c r="E48">
        <v>51</v>
      </c>
    </row>
    <row r="49" spans="1:7">
      <c r="A49">
        <v>7.8</v>
      </c>
      <c r="B49">
        <v>40</v>
      </c>
      <c r="D49">
        <v>8.9</v>
      </c>
      <c r="E49">
        <v>52</v>
      </c>
    </row>
    <row r="50" spans="1:7">
      <c r="A50">
        <v>8.3000000000000007</v>
      </c>
      <c r="B50">
        <v>52</v>
      </c>
      <c r="D50">
        <v>8.9</v>
      </c>
      <c r="E50">
        <v>52</v>
      </c>
    </row>
    <row r="51" spans="1:7">
      <c r="A51">
        <v>5.6</v>
      </c>
      <c r="B51">
        <v>15</v>
      </c>
      <c r="D51">
        <v>8.9</v>
      </c>
      <c r="E51">
        <v>52</v>
      </c>
    </row>
    <row r="52" spans="1:7">
      <c r="A52">
        <v>8.3000000000000007</v>
      </c>
      <c r="B52">
        <v>47</v>
      </c>
      <c r="D52">
        <v>8.9</v>
      </c>
      <c r="E52">
        <v>53</v>
      </c>
    </row>
    <row r="53" spans="1:7">
      <c r="A53">
        <v>6.1</v>
      </c>
      <c r="B53">
        <v>34</v>
      </c>
      <c r="D53">
        <v>9.1</v>
      </c>
      <c r="E53">
        <v>53</v>
      </c>
    </row>
    <row r="54" spans="1:7">
      <c r="A54">
        <v>9.1</v>
      </c>
      <c r="B54">
        <v>53</v>
      </c>
      <c r="D54">
        <v>9.1999999999999993</v>
      </c>
      <c r="E54">
        <v>53</v>
      </c>
    </row>
    <row r="55" spans="1:7">
      <c r="A55">
        <v>8.1999999999999993</v>
      </c>
      <c r="B55">
        <v>24</v>
      </c>
      <c r="D55">
        <v>9.3000000000000007</v>
      </c>
      <c r="E55">
        <v>54</v>
      </c>
    </row>
    <row r="56" spans="1:7">
      <c r="A56">
        <v>7.6</v>
      </c>
      <c r="B56">
        <v>40</v>
      </c>
      <c r="D56">
        <v>9.4</v>
      </c>
      <c r="E56">
        <v>55</v>
      </c>
    </row>
    <row r="57" spans="1:7">
      <c r="A57">
        <v>6.8</v>
      </c>
      <c r="B57">
        <v>30</v>
      </c>
      <c r="D57">
        <v>9.5</v>
      </c>
      <c r="E57">
        <v>55</v>
      </c>
    </row>
    <row r="58" spans="1:7">
      <c r="A58">
        <v>5.8</v>
      </c>
      <c r="B58">
        <v>41</v>
      </c>
      <c r="D58">
        <v>9.6</v>
      </c>
      <c r="E58">
        <v>60</v>
      </c>
    </row>
    <row r="59" spans="1:7">
      <c r="A59">
        <v>7.2</v>
      </c>
      <c r="B59">
        <v>18</v>
      </c>
      <c r="D59">
        <v>9.6</v>
      </c>
      <c r="E59">
        <v>70</v>
      </c>
    </row>
    <row r="60" spans="1:7">
      <c r="A60">
        <v>6.3</v>
      </c>
      <c r="B60">
        <v>38</v>
      </c>
      <c r="D60">
        <v>9.9</v>
      </c>
      <c r="E60">
        <v>72</v>
      </c>
    </row>
    <row r="61" spans="1:7">
      <c r="A61" s="4" t="s">
        <v>35</v>
      </c>
      <c r="B61" s="4" t="s">
        <v>36</v>
      </c>
      <c r="C61" s="4" t="s">
        <v>37</v>
      </c>
      <c r="E61" s="4" t="s">
        <v>38</v>
      </c>
      <c r="F61" s="4" t="s">
        <v>36</v>
      </c>
      <c r="G61" s="4" t="s">
        <v>37</v>
      </c>
    </row>
    <row r="62" spans="1:7">
      <c r="A62" s="8" cm="1">
        <f t="array" ref="A62:A96">_xlfn._xlws.SORT(_xlfn.UNIQUE(A1:A60))</f>
        <v>5.5</v>
      </c>
      <c r="B62" s="8">
        <f>COUNTIF(A$1:A$60, A62)</f>
        <v>1</v>
      </c>
      <c r="C62" s="8">
        <f>B62/60</f>
        <v>1.6666666666666666E-2</v>
      </c>
      <c r="E62" s="8" cm="1">
        <f t="array" ref="E62:E94">_xlfn._xlws.SORT(_xlfn.UNIQUE(B1:B60))</f>
        <v>15</v>
      </c>
      <c r="F62" s="8">
        <f>COUNTIF(B$1:B$60, E62)</f>
        <v>1</v>
      </c>
      <c r="G62" s="8">
        <f>F62/60</f>
        <v>1.6666666666666666E-2</v>
      </c>
    </row>
    <row r="63" spans="1:7">
      <c r="A63" s="8">
        <v>5.6</v>
      </c>
      <c r="B63" s="8">
        <f t="shared" ref="B63:B96" si="10">COUNTIF(A$1:A$60, A63)</f>
        <v>2</v>
      </c>
      <c r="C63" s="8">
        <f t="shared" ref="C63:C96" si="11">B63/60</f>
        <v>3.3333333333333333E-2</v>
      </c>
      <c r="E63" s="8">
        <v>18</v>
      </c>
      <c r="F63" s="8">
        <f>COUNTIF(B$1:B$60, E63)</f>
        <v>2</v>
      </c>
      <c r="G63" s="8">
        <f t="shared" ref="G63:G94" si="12">F63/60</f>
        <v>3.3333333333333333E-2</v>
      </c>
    </row>
    <row r="64" spans="1:7">
      <c r="A64" s="8">
        <v>5.7</v>
      </c>
      <c r="B64" s="8">
        <f>COUNTIF(A$1:A$60, A64)</f>
        <v>1</v>
      </c>
      <c r="C64" s="8">
        <f t="shared" si="11"/>
        <v>1.6666666666666666E-2</v>
      </c>
      <c r="E64" s="8">
        <v>21</v>
      </c>
      <c r="F64" s="8">
        <f>COUNTIF(B$1:B$60, E64)</f>
        <v>1</v>
      </c>
      <c r="G64" s="8">
        <f t="shared" si="12"/>
        <v>1.6666666666666666E-2</v>
      </c>
    </row>
    <row r="65" spans="1:7">
      <c r="A65" s="8">
        <v>5.8</v>
      </c>
      <c r="B65" s="8">
        <f t="shared" si="10"/>
        <v>2</v>
      </c>
      <c r="C65" s="8">
        <f t="shared" si="11"/>
        <v>3.3333333333333333E-2</v>
      </c>
      <c r="E65" s="8">
        <v>24</v>
      </c>
      <c r="F65" s="8">
        <f>COUNTIF(B$1:B$60, E65)</f>
        <v>1</v>
      </c>
      <c r="G65" s="8">
        <f t="shared" si="12"/>
        <v>1.6666666666666666E-2</v>
      </c>
    </row>
    <row r="66" spans="1:7">
      <c r="A66" s="8">
        <v>5.9</v>
      </c>
      <c r="B66" s="8">
        <f t="shared" si="10"/>
        <v>1</v>
      </c>
      <c r="C66" s="8">
        <f t="shared" si="11"/>
        <v>1.6666666666666666E-2</v>
      </c>
      <c r="E66" s="8">
        <v>25</v>
      </c>
      <c r="F66" s="8">
        <f>COUNTIF(B$1:B$60, E66)</f>
        <v>1</v>
      </c>
      <c r="G66" s="8">
        <f t="shared" si="12"/>
        <v>1.6666666666666666E-2</v>
      </c>
    </row>
    <row r="67" spans="1:7">
      <c r="A67" s="8">
        <v>6</v>
      </c>
      <c r="B67" s="8">
        <f t="shared" si="10"/>
        <v>1</v>
      </c>
      <c r="C67" s="8">
        <f t="shared" si="11"/>
        <v>1.6666666666666666E-2</v>
      </c>
      <c r="E67" s="8">
        <v>26</v>
      </c>
      <c r="F67" s="8">
        <f>COUNTIF(B$1:B$60, E67)</f>
        <v>2</v>
      </c>
      <c r="G67" s="8">
        <f t="shared" si="12"/>
        <v>3.3333333333333333E-2</v>
      </c>
    </row>
    <row r="68" spans="1:7">
      <c r="A68" s="8">
        <v>6.1</v>
      </c>
      <c r="B68" s="8">
        <f t="shared" si="10"/>
        <v>2</v>
      </c>
      <c r="C68" s="8">
        <f t="shared" si="11"/>
        <v>3.3333333333333333E-2</v>
      </c>
      <c r="E68" s="8">
        <v>27</v>
      </c>
      <c r="F68" s="8">
        <f>COUNTIF(B$1:B$60, E68)</f>
        <v>2</v>
      </c>
      <c r="G68" s="8">
        <f t="shared" si="12"/>
        <v>3.3333333333333333E-2</v>
      </c>
    </row>
    <row r="69" spans="1:7">
      <c r="A69" s="8">
        <v>6.2</v>
      </c>
      <c r="B69" s="8">
        <f t="shared" si="10"/>
        <v>1</v>
      </c>
      <c r="C69" s="8">
        <f t="shared" si="11"/>
        <v>1.6666666666666666E-2</v>
      </c>
      <c r="E69" s="8">
        <v>28</v>
      </c>
      <c r="F69" s="8">
        <f>COUNTIF(B$1:B$60, E69)</f>
        <v>2</v>
      </c>
      <c r="G69" s="8">
        <f t="shared" si="12"/>
        <v>3.3333333333333333E-2</v>
      </c>
    </row>
    <row r="70" spans="1:7">
      <c r="A70" s="8">
        <v>6.3</v>
      </c>
      <c r="B70" s="8">
        <f t="shared" si="10"/>
        <v>2</v>
      </c>
      <c r="C70" s="8">
        <f t="shared" si="11"/>
        <v>3.3333333333333333E-2</v>
      </c>
      <c r="E70" s="8">
        <v>29</v>
      </c>
      <c r="F70" s="8">
        <f>COUNTIF(B$1:B$60, E70)</f>
        <v>2</v>
      </c>
      <c r="G70" s="8">
        <f t="shared" si="12"/>
        <v>3.3333333333333333E-2</v>
      </c>
    </row>
    <row r="71" spans="1:7">
      <c r="A71" s="8">
        <v>6.5</v>
      </c>
      <c r="B71" s="8">
        <f t="shared" si="10"/>
        <v>2</v>
      </c>
      <c r="C71" s="8">
        <f t="shared" si="11"/>
        <v>3.3333333333333333E-2</v>
      </c>
      <c r="E71" s="8">
        <v>30</v>
      </c>
      <c r="F71" s="8">
        <f>COUNTIF(B$1:B$60, E71)</f>
        <v>3</v>
      </c>
      <c r="G71" s="8">
        <f t="shared" si="12"/>
        <v>0.05</v>
      </c>
    </row>
    <row r="72" spans="1:7">
      <c r="A72" s="8">
        <v>6.7</v>
      </c>
      <c r="B72" s="8">
        <f t="shared" si="10"/>
        <v>1</v>
      </c>
      <c r="C72" s="8">
        <f t="shared" si="11"/>
        <v>1.6666666666666666E-2</v>
      </c>
      <c r="E72" s="8">
        <v>31</v>
      </c>
      <c r="F72" s="8">
        <f>COUNTIF(B$1:B$60, E72)</f>
        <v>1</v>
      </c>
      <c r="G72" s="8">
        <f t="shared" si="12"/>
        <v>1.6666666666666666E-2</v>
      </c>
    </row>
    <row r="73" spans="1:7">
      <c r="A73" s="8">
        <v>6.8</v>
      </c>
      <c r="B73" s="8">
        <f t="shared" si="10"/>
        <v>1</v>
      </c>
      <c r="C73" s="8">
        <f t="shared" si="11"/>
        <v>1.6666666666666666E-2</v>
      </c>
      <c r="E73" s="8">
        <v>32</v>
      </c>
      <c r="F73" s="8">
        <f>COUNTIF(B$1:B$60, E73)</f>
        <v>2</v>
      </c>
      <c r="G73" s="8">
        <f t="shared" si="12"/>
        <v>3.3333333333333333E-2</v>
      </c>
    </row>
    <row r="74" spans="1:7">
      <c r="A74" s="8">
        <v>6.9</v>
      </c>
      <c r="B74" s="8">
        <f t="shared" si="10"/>
        <v>3</v>
      </c>
      <c r="C74" s="8">
        <f t="shared" si="11"/>
        <v>0.05</v>
      </c>
      <c r="E74" s="8">
        <v>33</v>
      </c>
      <c r="F74" s="8">
        <f>COUNTIF(B$1:B$60, E74)</f>
        <v>2</v>
      </c>
      <c r="G74" s="8">
        <f t="shared" si="12"/>
        <v>3.3333333333333333E-2</v>
      </c>
    </row>
    <row r="75" spans="1:7">
      <c r="A75" s="8">
        <v>7</v>
      </c>
      <c r="B75" s="8">
        <f t="shared" si="10"/>
        <v>3</v>
      </c>
      <c r="C75" s="8">
        <f t="shared" si="11"/>
        <v>0.05</v>
      </c>
      <c r="E75" s="8">
        <v>34</v>
      </c>
      <c r="F75" s="8">
        <f>COUNTIF(B$1:B$60, E75)</f>
        <v>1</v>
      </c>
      <c r="G75" s="8">
        <f t="shared" si="12"/>
        <v>1.6666666666666666E-2</v>
      </c>
    </row>
    <row r="76" spans="1:7">
      <c r="A76" s="8">
        <v>7.2</v>
      </c>
      <c r="B76" s="8">
        <f t="shared" si="10"/>
        <v>3</v>
      </c>
      <c r="C76" s="8">
        <f t="shared" si="11"/>
        <v>0.05</v>
      </c>
      <c r="E76" s="8">
        <v>35</v>
      </c>
      <c r="F76" s="8">
        <f>COUNTIF(B$1:B$60, E76)</f>
        <v>1</v>
      </c>
      <c r="G76" s="8">
        <f t="shared" si="12"/>
        <v>1.6666666666666666E-2</v>
      </c>
    </row>
    <row r="77" spans="1:7">
      <c r="A77" s="8">
        <v>7.3</v>
      </c>
      <c r="B77" s="8">
        <f t="shared" si="10"/>
        <v>2</v>
      </c>
      <c r="C77" s="8">
        <f t="shared" si="11"/>
        <v>3.3333333333333333E-2</v>
      </c>
      <c r="E77" s="8">
        <v>38</v>
      </c>
      <c r="F77" s="8">
        <f>COUNTIF(B$1:B$60, E77)</f>
        <v>3</v>
      </c>
      <c r="G77" s="8">
        <f t="shared" si="12"/>
        <v>0.05</v>
      </c>
    </row>
    <row r="78" spans="1:7">
      <c r="A78" s="8">
        <v>7.4</v>
      </c>
      <c r="B78" s="8">
        <f t="shared" si="10"/>
        <v>1</v>
      </c>
      <c r="C78" s="8">
        <f t="shared" si="11"/>
        <v>1.6666666666666666E-2</v>
      </c>
      <c r="E78" s="8">
        <v>40</v>
      </c>
      <c r="F78" s="8">
        <f>COUNTIF(B$1:B$60, E78)</f>
        <v>3</v>
      </c>
      <c r="G78" s="8">
        <f t="shared" si="12"/>
        <v>0.05</v>
      </c>
    </row>
    <row r="79" spans="1:7">
      <c r="A79" s="8">
        <v>7.5</v>
      </c>
      <c r="B79" s="8">
        <f t="shared" si="10"/>
        <v>1</v>
      </c>
      <c r="C79" s="8">
        <f t="shared" si="11"/>
        <v>1.6666666666666666E-2</v>
      </c>
      <c r="E79" s="8">
        <v>41</v>
      </c>
      <c r="F79" s="8">
        <f>COUNTIF(B$1:B$60, E79)</f>
        <v>3</v>
      </c>
      <c r="G79" s="8">
        <f t="shared" si="12"/>
        <v>0.05</v>
      </c>
    </row>
    <row r="80" spans="1:7">
      <c r="A80" s="8">
        <v>7.6</v>
      </c>
      <c r="B80" s="8">
        <f t="shared" si="10"/>
        <v>2</v>
      </c>
      <c r="C80" s="8">
        <f t="shared" si="11"/>
        <v>3.3333333333333333E-2</v>
      </c>
      <c r="E80" s="8">
        <v>42</v>
      </c>
      <c r="F80" s="8">
        <f>COUNTIF(B$1:B$60, E80)</f>
        <v>1</v>
      </c>
      <c r="G80" s="8">
        <f t="shared" si="12"/>
        <v>1.6666666666666666E-2</v>
      </c>
    </row>
    <row r="81" spans="1:7">
      <c r="A81" s="8">
        <v>7.7</v>
      </c>
      <c r="B81" s="8">
        <f t="shared" si="10"/>
        <v>1</v>
      </c>
      <c r="C81" s="8">
        <f t="shared" si="11"/>
        <v>1.6666666666666666E-2</v>
      </c>
      <c r="E81" s="8">
        <v>43</v>
      </c>
      <c r="F81" s="8">
        <f>COUNTIF(B$1:B$60, E81)</f>
        <v>5</v>
      </c>
      <c r="G81" s="8">
        <f t="shared" si="12"/>
        <v>8.3333333333333329E-2</v>
      </c>
    </row>
    <row r="82" spans="1:7">
      <c r="A82" s="8">
        <v>7.8</v>
      </c>
      <c r="B82" s="8">
        <f t="shared" si="10"/>
        <v>3</v>
      </c>
      <c r="C82" s="8">
        <f t="shared" si="11"/>
        <v>0.05</v>
      </c>
      <c r="E82" s="8">
        <v>44</v>
      </c>
      <c r="F82" s="8">
        <f>COUNTIF(B$1:B$60, E82)</f>
        <v>1</v>
      </c>
      <c r="G82" s="8">
        <f t="shared" si="12"/>
        <v>1.6666666666666666E-2</v>
      </c>
    </row>
    <row r="83" spans="1:7">
      <c r="A83" s="8">
        <v>7.9</v>
      </c>
      <c r="B83" s="8">
        <f t="shared" si="10"/>
        <v>2</v>
      </c>
      <c r="C83" s="8">
        <f t="shared" si="11"/>
        <v>3.3333333333333333E-2</v>
      </c>
      <c r="E83" s="8">
        <v>45</v>
      </c>
      <c r="F83" s="8">
        <f>COUNTIF(B$1:B$60, E83)</f>
        <v>1</v>
      </c>
      <c r="G83" s="8">
        <f t="shared" si="12"/>
        <v>1.6666666666666666E-2</v>
      </c>
    </row>
    <row r="84" spans="1:7">
      <c r="A84" s="8">
        <v>8</v>
      </c>
      <c r="B84" s="8">
        <f t="shared" si="10"/>
        <v>2</v>
      </c>
      <c r="C84" s="8">
        <f t="shared" si="11"/>
        <v>3.3333333333333333E-2</v>
      </c>
      <c r="E84" s="8">
        <v>46</v>
      </c>
      <c r="F84" s="8">
        <f>COUNTIF(B$1:B$60, E84)</f>
        <v>2</v>
      </c>
      <c r="G84" s="8">
        <f t="shared" si="12"/>
        <v>3.3333333333333333E-2</v>
      </c>
    </row>
    <row r="85" spans="1:7">
      <c r="A85" s="8">
        <v>8.1</v>
      </c>
      <c r="B85" s="8">
        <f t="shared" si="10"/>
        <v>1</v>
      </c>
      <c r="C85" s="8">
        <f t="shared" si="11"/>
        <v>1.6666666666666666E-2</v>
      </c>
      <c r="E85" s="8">
        <v>47</v>
      </c>
      <c r="F85" s="8">
        <f>COUNTIF(B$1:B$60, E85)</f>
        <v>1</v>
      </c>
      <c r="G85" s="8">
        <f t="shared" si="12"/>
        <v>1.6666666666666666E-2</v>
      </c>
    </row>
    <row r="86" spans="1:7">
      <c r="A86" s="8">
        <v>8.1999999999999993</v>
      </c>
      <c r="B86" s="8">
        <f t="shared" si="10"/>
        <v>2</v>
      </c>
      <c r="C86" s="8">
        <f t="shared" si="11"/>
        <v>3.3333333333333333E-2</v>
      </c>
      <c r="E86" s="8">
        <v>50</v>
      </c>
      <c r="F86" s="8">
        <f>COUNTIF(B$1:B$60, E86)</f>
        <v>1</v>
      </c>
      <c r="G86" s="8">
        <f t="shared" si="12"/>
        <v>1.6666666666666666E-2</v>
      </c>
    </row>
    <row r="87" spans="1:7">
      <c r="A87" s="8">
        <v>8.3000000000000007</v>
      </c>
      <c r="B87" s="8">
        <f t="shared" si="10"/>
        <v>2</v>
      </c>
      <c r="C87" s="8">
        <f t="shared" si="11"/>
        <v>3.3333333333333333E-2</v>
      </c>
      <c r="E87" s="8">
        <v>51</v>
      </c>
      <c r="F87" s="8">
        <f>COUNTIF(B$1:B$60, E87)</f>
        <v>3</v>
      </c>
      <c r="G87" s="8">
        <f t="shared" si="12"/>
        <v>0.05</v>
      </c>
    </row>
    <row r="88" spans="1:7">
      <c r="A88" s="8">
        <v>8.6</v>
      </c>
      <c r="B88" s="8">
        <f t="shared" si="10"/>
        <v>3</v>
      </c>
      <c r="C88" s="8">
        <f t="shared" si="11"/>
        <v>0.05</v>
      </c>
      <c r="E88" s="8">
        <v>52</v>
      </c>
      <c r="F88" s="8">
        <f>COUNTIF(B$1:B$60, E88)</f>
        <v>3</v>
      </c>
      <c r="G88" s="8">
        <f t="shared" si="12"/>
        <v>0.05</v>
      </c>
    </row>
    <row r="89" spans="1:7">
      <c r="A89" s="8">
        <v>8.9</v>
      </c>
      <c r="B89" s="8">
        <f t="shared" si="10"/>
        <v>4</v>
      </c>
      <c r="C89" s="8">
        <f t="shared" si="11"/>
        <v>6.6666666666666666E-2</v>
      </c>
      <c r="E89" s="8">
        <v>53</v>
      </c>
      <c r="F89" s="8">
        <f>COUNTIF(B$1:B$60, E89)</f>
        <v>3</v>
      </c>
      <c r="G89" s="8">
        <f t="shared" si="12"/>
        <v>0.05</v>
      </c>
    </row>
    <row r="90" spans="1:7">
      <c r="A90" s="8">
        <v>9.1</v>
      </c>
      <c r="B90" s="8">
        <f t="shared" si="10"/>
        <v>1</v>
      </c>
      <c r="C90" s="8">
        <f t="shared" si="11"/>
        <v>1.6666666666666666E-2</v>
      </c>
      <c r="E90" s="8">
        <v>54</v>
      </c>
      <c r="F90" s="8">
        <f>COUNTIF(B$1:B$60, E90)</f>
        <v>1</v>
      </c>
      <c r="G90" s="8">
        <f t="shared" si="12"/>
        <v>1.6666666666666666E-2</v>
      </c>
    </row>
    <row r="91" spans="1:7">
      <c r="A91" s="8">
        <v>9.1999999999999993</v>
      </c>
      <c r="B91" s="8">
        <f t="shared" si="10"/>
        <v>1</v>
      </c>
      <c r="C91" s="8">
        <f t="shared" si="11"/>
        <v>1.6666666666666666E-2</v>
      </c>
      <c r="E91" s="8">
        <v>55</v>
      </c>
      <c r="F91" s="8">
        <f>COUNTIF(B$1:B$60, E91)</f>
        <v>2</v>
      </c>
      <c r="G91" s="8">
        <f t="shared" si="12"/>
        <v>3.3333333333333333E-2</v>
      </c>
    </row>
    <row r="92" spans="1:7">
      <c r="A92" s="8">
        <v>9.3000000000000007</v>
      </c>
      <c r="B92" s="8">
        <f t="shared" si="10"/>
        <v>1</v>
      </c>
      <c r="C92" s="8">
        <f t="shared" si="11"/>
        <v>1.6666666666666666E-2</v>
      </c>
      <c r="E92" s="8">
        <v>60</v>
      </c>
      <c r="F92" s="8">
        <f>COUNTIF(B$1:B$60, E92)</f>
        <v>1</v>
      </c>
      <c r="G92" s="8">
        <f t="shared" si="12"/>
        <v>1.6666666666666666E-2</v>
      </c>
    </row>
    <row r="93" spans="1:7">
      <c r="A93" s="8">
        <v>9.4</v>
      </c>
      <c r="B93" s="8">
        <f t="shared" si="10"/>
        <v>1</v>
      </c>
      <c r="C93" s="8">
        <f t="shared" si="11"/>
        <v>1.6666666666666666E-2</v>
      </c>
      <c r="E93" s="8">
        <v>70</v>
      </c>
      <c r="F93" s="8">
        <f>COUNTIF(B$1:B$60, E93)</f>
        <v>1</v>
      </c>
      <c r="G93" s="8">
        <f t="shared" si="12"/>
        <v>1.6666666666666666E-2</v>
      </c>
    </row>
    <row r="94" spans="1:7">
      <c r="A94" s="8">
        <v>9.5</v>
      </c>
      <c r="B94" s="8">
        <f t="shared" si="10"/>
        <v>1</v>
      </c>
      <c r="C94" s="8">
        <f t="shared" si="11"/>
        <v>1.6666666666666666E-2</v>
      </c>
      <c r="E94" s="8">
        <v>72</v>
      </c>
      <c r="F94" s="8">
        <f>COUNTIF(B$1:B$60, E94)</f>
        <v>1</v>
      </c>
      <c r="G94" s="8">
        <f t="shared" si="12"/>
        <v>1.6666666666666666E-2</v>
      </c>
    </row>
    <row r="95" spans="1:7">
      <c r="A95" s="8">
        <v>9.6</v>
      </c>
      <c r="B95" s="8">
        <f t="shared" si="10"/>
        <v>2</v>
      </c>
      <c r="C95" s="8">
        <f t="shared" si="11"/>
        <v>3.3333333333333333E-2</v>
      </c>
      <c r="E95" s="4" t="s">
        <v>34</v>
      </c>
      <c r="F95" s="4">
        <f>SUM(F62:F94)</f>
        <v>60</v>
      </c>
      <c r="G95" s="4">
        <f>SUM(G62:G94)</f>
        <v>1.0000000000000004</v>
      </c>
    </row>
    <row r="96" spans="1:7">
      <c r="A96" s="8">
        <v>9.9</v>
      </c>
      <c r="B96" s="8">
        <f t="shared" si="10"/>
        <v>1</v>
      </c>
      <c r="C96" s="8">
        <f t="shared" si="11"/>
        <v>1.6666666666666666E-2</v>
      </c>
    </row>
    <row r="97" spans="1:3">
      <c r="A97" s="4" t="s">
        <v>34</v>
      </c>
      <c r="B97" s="4">
        <f>SUM(B62:B96)</f>
        <v>60</v>
      </c>
      <c r="C97" s="4">
        <f>SUM(C62:C96)</f>
        <v>1.0000000000000004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430B-B624-42CE-8C9E-6CD3D733136D}">
  <dimension ref="G8:L45"/>
  <sheetViews>
    <sheetView zoomScale="55" zoomScaleNormal="55" workbookViewId="0">
      <selection activeCell="X33" sqref="X33"/>
    </sheetView>
  </sheetViews>
  <sheetFormatPr defaultRowHeight="14.4"/>
  <sheetData>
    <row r="8" spans="7:12" ht="15" thickBot="1"/>
    <row r="9" spans="7:12" ht="72.599999999999994" thickBot="1">
      <c r="G9" s="17" t="s">
        <v>1</v>
      </c>
      <c r="H9" s="18" t="s">
        <v>39</v>
      </c>
      <c r="I9" s="18" t="s">
        <v>40</v>
      </c>
      <c r="J9" s="18" t="s">
        <v>41</v>
      </c>
      <c r="K9" s="18" t="s">
        <v>42</v>
      </c>
      <c r="L9" s="18" t="s">
        <v>43</v>
      </c>
    </row>
    <row r="10" spans="7:12" ht="36.6" thickBot="1">
      <c r="G10" s="19">
        <v>1</v>
      </c>
      <c r="H10" s="20" t="s">
        <v>44</v>
      </c>
      <c r="I10" s="20">
        <v>5.5</v>
      </c>
      <c r="J10" s="20">
        <v>7</v>
      </c>
      <c r="K10" s="20">
        <v>0.1167</v>
      </c>
      <c r="L10" s="20">
        <v>0.1326</v>
      </c>
    </row>
    <row r="11" spans="7:12" ht="36.6" thickBot="1">
      <c r="G11" s="19">
        <v>2</v>
      </c>
      <c r="H11" s="20" t="s">
        <v>45</v>
      </c>
      <c r="I11" s="20">
        <v>6.38</v>
      </c>
      <c r="J11" s="20">
        <v>10</v>
      </c>
      <c r="K11" s="20">
        <v>0.16669999999999999</v>
      </c>
      <c r="L11" s="20">
        <v>0.18940000000000001</v>
      </c>
    </row>
    <row r="12" spans="7:12" ht="36.6" thickBot="1">
      <c r="G12" s="19">
        <v>3</v>
      </c>
      <c r="H12" s="20" t="s">
        <v>46</v>
      </c>
      <c r="I12" s="20">
        <v>7.26</v>
      </c>
      <c r="J12" s="20">
        <v>16</v>
      </c>
      <c r="K12" s="20">
        <v>0.26669999999999999</v>
      </c>
      <c r="L12" s="20">
        <v>0.30299999999999999</v>
      </c>
    </row>
    <row r="13" spans="7:12" ht="36.6" thickBot="1">
      <c r="G13" s="19">
        <v>4</v>
      </c>
      <c r="H13" s="20" t="s">
        <v>47</v>
      </c>
      <c r="I13" s="20">
        <v>8.14</v>
      </c>
      <c r="J13" s="20">
        <v>12</v>
      </c>
      <c r="K13" s="20">
        <v>0.2</v>
      </c>
      <c r="L13" s="20">
        <v>0.2273</v>
      </c>
    </row>
    <row r="14" spans="7:12" ht="36.6" thickBot="1">
      <c r="G14" s="19">
        <v>5</v>
      </c>
      <c r="H14" s="20" t="s">
        <v>48</v>
      </c>
      <c r="I14" s="20">
        <v>9.02</v>
      </c>
      <c r="J14" s="20">
        <v>11</v>
      </c>
      <c r="K14" s="20">
        <v>0.18329999999999999</v>
      </c>
      <c r="L14" s="20">
        <v>0.20830000000000001</v>
      </c>
    </row>
    <row r="15" spans="7:12" ht="36.6" thickBot="1">
      <c r="G15" s="19">
        <v>6</v>
      </c>
      <c r="H15" s="20" t="s">
        <v>49</v>
      </c>
      <c r="I15" s="20">
        <v>9.9</v>
      </c>
      <c r="J15" s="20">
        <v>4</v>
      </c>
      <c r="K15" s="20">
        <v>6.6699999999999995E-2</v>
      </c>
      <c r="L15" s="20">
        <v>7.5800000000000006E-2</v>
      </c>
    </row>
    <row r="16" spans="7:12" ht="36.6" thickBot="1">
      <c r="G16" s="19" t="s">
        <v>50</v>
      </c>
      <c r="H16" s="20"/>
      <c r="I16" s="20"/>
      <c r="J16" s="20">
        <v>60</v>
      </c>
      <c r="K16" s="20">
        <v>1</v>
      </c>
      <c r="L16" s="20"/>
    </row>
    <row r="17" spans="7:12" ht="15" thickBot="1"/>
    <row r="18" spans="7:12" ht="72.599999999999994" thickBot="1">
      <c r="G18" s="21" t="s">
        <v>1</v>
      </c>
      <c r="H18" s="22" t="s">
        <v>39</v>
      </c>
      <c r="I18" s="22" t="s">
        <v>40</v>
      </c>
      <c r="J18" s="22" t="s">
        <v>41</v>
      </c>
      <c r="K18" s="22" t="s">
        <v>42</v>
      </c>
      <c r="L18" s="22" t="s">
        <v>43</v>
      </c>
    </row>
    <row r="19" spans="7:12" ht="36.6" thickBot="1">
      <c r="G19" s="19">
        <v>1</v>
      </c>
      <c r="H19" s="23" t="s">
        <v>51</v>
      </c>
      <c r="I19" s="23">
        <v>15</v>
      </c>
      <c r="J19" s="23">
        <v>3</v>
      </c>
      <c r="K19" s="23">
        <v>0.05</v>
      </c>
      <c r="L19" s="23">
        <v>4.4000000000000003E-3</v>
      </c>
    </row>
    <row r="20" spans="7:12" ht="36.6" thickBot="1">
      <c r="G20" s="19">
        <v>2</v>
      </c>
      <c r="H20" s="23" t="s">
        <v>52</v>
      </c>
      <c r="I20" s="23">
        <v>26.4</v>
      </c>
      <c r="J20" s="23">
        <v>17</v>
      </c>
      <c r="K20" s="23">
        <v>0.2833</v>
      </c>
      <c r="L20" s="23">
        <v>2.4899999999999999E-2</v>
      </c>
    </row>
    <row r="21" spans="7:12" ht="36.6" thickBot="1">
      <c r="G21" s="19">
        <v>3</v>
      </c>
      <c r="H21" s="23" t="s">
        <v>53</v>
      </c>
      <c r="I21" s="23">
        <v>37.799999999999997</v>
      </c>
      <c r="J21" s="23">
        <v>19</v>
      </c>
      <c r="K21" s="23">
        <v>0.31669999999999998</v>
      </c>
      <c r="L21" s="23">
        <v>2.7799999999999998E-2</v>
      </c>
    </row>
    <row r="22" spans="7:12" ht="36.6" thickBot="1">
      <c r="G22" s="19">
        <v>4</v>
      </c>
      <c r="H22" s="23" t="s">
        <v>54</v>
      </c>
      <c r="I22" s="23">
        <v>49.2</v>
      </c>
      <c r="J22" s="23">
        <v>16</v>
      </c>
      <c r="K22" s="23">
        <v>0.26669999999999999</v>
      </c>
      <c r="L22" s="23">
        <v>2.3400000000000001E-2</v>
      </c>
    </row>
    <row r="23" spans="7:12" ht="36.6" thickBot="1">
      <c r="G23" s="19">
        <v>5</v>
      </c>
      <c r="H23" s="23" t="s">
        <v>55</v>
      </c>
      <c r="I23" s="23">
        <v>60.6</v>
      </c>
      <c r="J23" s="23">
        <v>3</v>
      </c>
      <c r="K23" s="23">
        <v>0.05</v>
      </c>
      <c r="L23" s="23">
        <v>4.4000000000000003E-3</v>
      </c>
    </row>
    <row r="24" spans="7:12" ht="36.6" thickBot="1">
      <c r="G24" s="21">
        <v>6</v>
      </c>
      <c r="H24" s="22" t="s">
        <v>56</v>
      </c>
      <c r="I24" s="22">
        <v>72</v>
      </c>
      <c r="J24" s="22">
        <v>2</v>
      </c>
      <c r="K24" s="22">
        <v>3.3300000000000003E-2</v>
      </c>
      <c r="L24" s="22">
        <v>2.8999999999999998E-3</v>
      </c>
    </row>
    <row r="26" spans="7:12" ht="15" thickBot="1"/>
    <row r="27" spans="7:12" ht="72.599999999999994" thickBot="1">
      <c r="G27" s="21" t="s">
        <v>1</v>
      </c>
      <c r="H27" s="22" t="s">
        <v>39</v>
      </c>
      <c r="I27" s="22" t="s">
        <v>40</v>
      </c>
      <c r="J27" s="22" t="s">
        <v>41</v>
      </c>
      <c r="K27" s="22" t="s">
        <v>42</v>
      </c>
      <c r="L27" s="22" t="s">
        <v>43</v>
      </c>
    </row>
    <row r="28" spans="7:12" ht="36.6" thickBot="1">
      <c r="G28" s="19">
        <v>1</v>
      </c>
      <c r="H28" s="23" t="s">
        <v>57</v>
      </c>
      <c r="I28" s="23">
        <v>5.5</v>
      </c>
      <c r="J28" s="23">
        <v>6</v>
      </c>
      <c r="K28" s="23">
        <v>0.1</v>
      </c>
      <c r="L28" s="23">
        <v>0.157</v>
      </c>
    </row>
    <row r="29" spans="7:12" ht="36.6" thickBot="1">
      <c r="G29" s="19">
        <v>2</v>
      </c>
      <c r="H29" s="23" t="s">
        <v>58</v>
      </c>
      <c r="I29" s="23">
        <v>6.1369999999999996</v>
      </c>
      <c r="J29" s="23">
        <v>7</v>
      </c>
      <c r="K29" s="23">
        <v>0.1167</v>
      </c>
      <c r="L29" s="23">
        <v>0.1832</v>
      </c>
    </row>
    <row r="30" spans="7:12" ht="36.6" thickBot="1">
      <c r="G30" s="19">
        <v>3</v>
      </c>
      <c r="H30" s="23" t="s">
        <v>59</v>
      </c>
      <c r="I30" s="23">
        <v>6.774</v>
      </c>
      <c r="J30" s="23">
        <v>10</v>
      </c>
      <c r="K30" s="23">
        <v>0.16669999999999999</v>
      </c>
      <c r="L30" s="23">
        <v>0.2616</v>
      </c>
    </row>
    <row r="31" spans="7:12" ht="36.6" thickBot="1">
      <c r="G31" s="19">
        <v>4</v>
      </c>
      <c r="H31" s="23" t="s">
        <v>60</v>
      </c>
      <c r="I31" s="23">
        <v>7.4109999999999996</v>
      </c>
      <c r="J31" s="23">
        <v>10</v>
      </c>
      <c r="K31" s="23">
        <v>0.16669999999999999</v>
      </c>
      <c r="L31" s="23">
        <v>0.2616</v>
      </c>
    </row>
    <row r="32" spans="7:12" ht="36.6" thickBot="1">
      <c r="G32" s="19">
        <v>5</v>
      </c>
      <c r="H32" s="23" t="s">
        <v>61</v>
      </c>
      <c r="I32" s="23">
        <v>8.048</v>
      </c>
      <c r="J32" s="23">
        <v>12</v>
      </c>
      <c r="K32" s="23">
        <v>0.2</v>
      </c>
      <c r="L32" s="23">
        <v>0.314</v>
      </c>
    </row>
    <row r="33" spans="7:12" ht="36.6" thickBot="1">
      <c r="G33" s="19">
        <v>6</v>
      </c>
      <c r="H33" s="23" t="s">
        <v>62</v>
      </c>
      <c r="I33" s="23">
        <v>8.6850000000000005</v>
      </c>
      <c r="J33" s="23">
        <v>7</v>
      </c>
      <c r="K33" s="23">
        <v>0.1167</v>
      </c>
      <c r="L33" s="23">
        <v>0.1832</v>
      </c>
    </row>
    <row r="34" spans="7:12" ht="36.6" thickBot="1">
      <c r="G34" s="19">
        <v>7</v>
      </c>
      <c r="H34" s="23" t="s">
        <v>63</v>
      </c>
      <c r="I34" s="23">
        <v>9.3219999999999992</v>
      </c>
      <c r="J34" s="23">
        <v>7</v>
      </c>
      <c r="K34" s="23">
        <v>0.1167</v>
      </c>
      <c r="L34" s="23">
        <v>0.1832</v>
      </c>
    </row>
    <row r="35" spans="7:12" ht="36.6" thickBot="1">
      <c r="G35" s="19">
        <v>8</v>
      </c>
      <c r="H35" s="23" t="s">
        <v>64</v>
      </c>
      <c r="I35" s="23">
        <v>9.9589999999999996</v>
      </c>
      <c r="J35" s="23">
        <v>1</v>
      </c>
      <c r="K35" s="23">
        <v>1.67E-2</v>
      </c>
      <c r="L35" s="23">
        <v>2.6200000000000001E-2</v>
      </c>
    </row>
    <row r="36" spans="7:12" ht="15" thickBot="1"/>
    <row r="37" spans="7:12" ht="72.599999999999994" thickBot="1">
      <c r="G37" s="21" t="s">
        <v>1</v>
      </c>
      <c r="H37" s="22" t="s">
        <v>39</v>
      </c>
      <c r="I37" s="22" t="s">
        <v>40</v>
      </c>
      <c r="J37" s="22" t="s">
        <v>41</v>
      </c>
      <c r="K37" s="22" t="s">
        <v>42</v>
      </c>
      <c r="L37" s="22" t="s">
        <v>43</v>
      </c>
    </row>
    <row r="38" spans="7:12" ht="72.599999999999994" thickBot="1">
      <c r="G38" s="19">
        <v>1</v>
      </c>
      <c r="H38" s="23" t="s">
        <v>65</v>
      </c>
      <c r="I38" s="23">
        <v>15</v>
      </c>
      <c r="J38" s="23">
        <v>3</v>
      </c>
      <c r="K38" s="23">
        <v>0.05</v>
      </c>
      <c r="L38" s="23">
        <v>6.1000000000000004E-3</v>
      </c>
    </row>
    <row r="39" spans="7:12" ht="72.599999999999994" thickBot="1">
      <c r="G39" s="19">
        <v>2</v>
      </c>
      <c r="H39" s="23" t="s">
        <v>66</v>
      </c>
      <c r="I39" s="23">
        <v>23.253</v>
      </c>
      <c r="J39" s="23">
        <v>7</v>
      </c>
      <c r="K39" s="23">
        <v>0.1167</v>
      </c>
      <c r="L39" s="23">
        <v>1.41E-2</v>
      </c>
    </row>
    <row r="40" spans="7:12" ht="72.599999999999994" thickBot="1">
      <c r="G40" s="19">
        <v>3</v>
      </c>
      <c r="H40" s="23" t="s">
        <v>67</v>
      </c>
      <c r="I40" s="23">
        <v>31.504999999999999</v>
      </c>
      <c r="J40" s="23">
        <v>14</v>
      </c>
      <c r="K40" s="23">
        <v>0.23330000000000001</v>
      </c>
      <c r="L40" s="23">
        <v>2.8299999999999999E-2</v>
      </c>
    </row>
    <row r="41" spans="7:12" ht="72.599999999999994" thickBot="1">
      <c r="G41" s="19">
        <v>4</v>
      </c>
      <c r="H41" s="23" t="s">
        <v>68</v>
      </c>
      <c r="I41" s="23">
        <v>39.758000000000003</v>
      </c>
      <c r="J41" s="23">
        <v>15</v>
      </c>
      <c r="K41" s="23">
        <v>0.25</v>
      </c>
      <c r="L41" s="23">
        <v>3.0300000000000001E-2</v>
      </c>
    </row>
    <row r="42" spans="7:12" ht="72.599999999999994" thickBot="1">
      <c r="G42" s="19">
        <v>5</v>
      </c>
      <c r="H42" s="23" t="s">
        <v>69</v>
      </c>
      <c r="I42" s="23">
        <v>48.01</v>
      </c>
      <c r="J42" s="23">
        <v>12</v>
      </c>
      <c r="K42" s="23">
        <v>0.2</v>
      </c>
      <c r="L42" s="23">
        <v>2.4199999999999999E-2</v>
      </c>
    </row>
    <row r="43" spans="7:12" ht="72.599999999999994" thickBot="1">
      <c r="G43" s="19">
        <v>6</v>
      </c>
      <c r="H43" s="23" t="s">
        <v>70</v>
      </c>
      <c r="I43" s="23">
        <v>56.262999999999998</v>
      </c>
      <c r="J43" s="23">
        <v>7</v>
      </c>
      <c r="K43" s="23">
        <v>0.1167</v>
      </c>
      <c r="L43" s="23">
        <v>1.41E-2</v>
      </c>
    </row>
    <row r="44" spans="7:12" ht="72.599999999999994" thickBot="1">
      <c r="G44" s="19">
        <v>7</v>
      </c>
      <c r="H44" s="23" t="s">
        <v>71</v>
      </c>
      <c r="I44" s="23">
        <v>64.515000000000001</v>
      </c>
      <c r="J44" s="23">
        <v>0</v>
      </c>
      <c r="K44" s="23">
        <v>0</v>
      </c>
      <c r="L44" s="23">
        <v>0</v>
      </c>
    </row>
    <row r="45" spans="7:12" ht="72.599999999999994" thickBot="1">
      <c r="G45" s="19">
        <v>8</v>
      </c>
      <c r="H45" s="23" t="s">
        <v>72</v>
      </c>
      <c r="I45" s="23">
        <v>72.768000000000001</v>
      </c>
      <c r="J45" s="23">
        <v>2</v>
      </c>
      <c r="K45" s="23">
        <v>3.3300000000000003E-2</v>
      </c>
      <c r="L45" s="23">
        <v>4.0000000000000001E-3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luvidmi</dc:creator>
  <cp:lastModifiedBy>luvidmi</cp:lastModifiedBy>
  <dcterms:created xsi:type="dcterms:W3CDTF">2015-06-05T18:19:34Z</dcterms:created>
  <dcterms:modified xsi:type="dcterms:W3CDTF">2026-06-14T17:06:04Z</dcterms:modified>
</cp:coreProperties>
</file>