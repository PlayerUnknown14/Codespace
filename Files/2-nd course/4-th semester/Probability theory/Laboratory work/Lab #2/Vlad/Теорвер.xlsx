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pace\Files\2-nd course\4-th semester\Probability theory\Laboratory work\Lab #2\Vlad\"/>
    </mc:Choice>
  </mc:AlternateContent>
  <xr:revisionPtr revIDLastSave="0" documentId="13_ncr:1_{A09336A8-CA1A-4F52-8291-6B09CDBACB29}" xr6:coauthVersionLast="47" xr6:coauthVersionMax="47" xr10:uidLastSave="{00000000-0000-0000-0000-000000000000}"/>
  <bookViews>
    <workbookView xWindow="38280" yWindow="5640" windowWidth="25425" windowHeight="16440" activeTab="3" xr2:uid="{238F68E3-D8EC-4A8A-AD0E-854BE4B44AFF}"/>
  </bookViews>
  <sheets>
    <sheet name="Выборки" sheetId="1" r:id="rId1"/>
    <sheet name="Лист1" sheetId="2" r:id="rId2"/>
    <sheet name="Sheet1" sheetId="4" r:id="rId3"/>
    <sheet name="Лист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5" l="1"/>
  <c r="R3" i="5" s="1" a="1"/>
  <c r="R3" i="5" s="1"/>
  <c r="R4" i="5" s="1"/>
  <c r="X4" i="5"/>
  <c r="L4" i="5"/>
  <c r="F4" i="5"/>
  <c r="X3" i="5" a="1"/>
  <c r="X3" i="5" s="1"/>
  <c r="L3" i="5" a="1"/>
  <c r="L3" i="5" s="1"/>
  <c r="F3" i="5" a="1"/>
  <c r="F3" i="5" s="1"/>
  <c r="X2" i="5"/>
  <c r="L2" i="5"/>
  <c r="F2" i="5"/>
  <c r="I15" i="4"/>
  <c r="H16" i="4" s="1"/>
  <c r="I16" i="4" s="1"/>
  <c r="H17" i="4" s="1"/>
  <c r="K21" i="4"/>
  <c r="L21" i="4" s="1"/>
  <c r="M15" i="4"/>
  <c r="B15" i="4"/>
  <c r="A16" i="4" s="1"/>
  <c r="B16" i="4" s="1"/>
  <c r="D16" i="4"/>
  <c r="E16" i="4" s="1"/>
  <c r="C7" i="4"/>
  <c r="B2" i="4"/>
  <c r="A3" i="4" s="1"/>
  <c r="B3" i="4" s="1"/>
  <c r="A4" i="4" s="1"/>
  <c r="B4" i="4" s="1"/>
  <c r="N2" i="4"/>
  <c r="D6" i="4" s="1"/>
  <c r="E6" i="4" s="1"/>
  <c r="B5" i="1"/>
  <c r="D2" i="2"/>
  <c r="H5" i="1"/>
  <c r="H7" i="1"/>
  <c r="B7" i="1"/>
  <c r="H6" i="1"/>
  <c r="B6" i="1"/>
  <c r="H4" i="1"/>
  <c r="B4" i="1"/>
  <c r="H3" i="1"/>
  <c r="B3" i="1"/>
  <c r="H2" i="1"/>
  <c r="B2" i="1"/>
  <c r="P2" i="1"/>
  <c r="Q2" i="1" s="1"/>
  <c r="R2" i="1" s="1"/>
  <c r="P3" i="1"/>
  <c r="Q3" i="1" s="1"/>
  <c r="P4" i="1"/>
  <c r="Q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I42" i="1"/>
  <c r="I43" i="1"/>
  <c r="I44" i="1"/>
  <c r="I45" i="1"/>
  <c r="I46" i="1"/>
  <c r="I47" i="1"/>
  <c r="I49" i="1"/>
  <c r="I50" i="1"/>
  <c r="I52" i="1"/>
  <c r="I56" i="1"/>
  <c r="I57" i="1"/>
  <c r="C59" i="1"/>
  <c r="M36" i="1"/>
  <c r="N36" i="1" s="1"/>
  <c r="M3" i="1"/>
  <c r="N3" i="1" s="1"/>
  <c r="M4" i="1"/>
  <c r="N4" i="1" s="1"/>
  <c r="M35" i="1"/>
  <c r="N35" i="1" s="1"/>
  <c r="C56" i="1"/>
  <c r="C55" i="1"/>
  <c r="M5" i="1"/>
  <c r="N5" i="1" s="1"/>
  <c r="M34" i="1"/>
  <c r="N34" i="1" s="1"/>
  <c r="M33" i="1"/>
  <c r="M32" i="1"/>
  <c r="C51" i="1"/>
  <c r="C50" i="1"/>
  <c r="M31" i="1"/>
  <c r="M6" i="1"/>
  <c r="N6" i="1" s="1"/>
  <c r="M30" i="1"/>
  <c r="N30" i="1" s="1"/>
  <c r="C47" i="1"/>
  <c r="C46" i="1"/>
  <c r="M7" i="1"/>
  <c r="N7" i="1" s="1"/>
  <c r="M29" i="1"/>
  <c r="N29" i="1" s="1"/>
  <c r="M28" i="1"/>
  <c r="N28" i="1" s="1"/>
  <c r="M8" i="1"/>
  <c r="M27" i="1"/>
  <c r="C42" i="1"/>
  <c r="M9" i="1"/>
  <c r="N9" i="1" s="1"/>
  <c r="M26" i="1"/>
  <c r="M10" i="1"/>
  <c r="N10" i="1" s="1"/>
  <c r="M11" i="1"/>
  <c r="N11" i="1" s="1"/>
  <c r="C40" i="1"/>
  <c r="M12" i="1"/>
  <c r="N12" i="1" s="1"/>
  <c r="M25" i="1"/>
  <c r="N25" i="1" s="1"/>
  <c r="M24" i="1"/>
  <c r="N24" i="1" s="1"/>
  <c r="M13" i="1"/>
  <c r="M23" i="1"/>
  <c r="N23" i="1" s="1"/>
  <c r="M14" i="1"/>
  <c r="M22" i="1"/>
  <c r="N22" i="1" s="1"/>
  <c r="M15" i="1"/>
  <c r="N15" i="1" s="1"/>
  <c r="M16" i="1"/>
  <c r="N16" i="1" s="1"/>
  <c r="M21" i="1"/>
  <c r="N21" i="1" s="1"/>
  <c r="M17" i="1"/>
  <c r="N17" i="1" s="1"/>
  <c r="M20" i="1"/>
  <c r="M18" i="1"/>
  <c r="N18" i="1" s="1"/>
  <c r="M19" i="1"/>
  <c r="N19" i="1" s="1"/>
  <c r="C61" i="1"/>
  <c r="M37" i="1"/>
  <c r="N37" i="1" s="1"/>
  <c r="M2" i="1"/>
  <c r="D19" i="4" l="1"/>
  <c r="E19" i="4" s="1"/>
  <c r="K16" i="4"/>
  <c r="L16" i="4" s="1"/>
  <c r="K22" i="4"/>
  <c r="L22" i="4" s="1"/>
  <c r="K17" i="4"/>
  <c r="L17" i="4" s="1"/>
  <c r="F4" i="4"/>
  <c r="D22" i="4"/>
  <c r="E22" i="4" s="1"/>
  <c r="K18" i="4"/>
  <c r="L18" i="4" s="1"/>
  <c r="D21" i="4"/>
  <c r="E21" i="4" s="1"/>
  <c r="K19" i="4"/>
  <c r="L19" i="4" s="1"/>
  <c r="D15" i="4"/>
  <c r="E15" i="4" s="1"/>
  <c r="K15" i="4"/>
  <c r="L15" i="4" s="1"/>
  <c r="K20" i="4"/>
  <c r="L20" i="4" s="1"/>
  <c r="I17" i="4"/>
  <c r="H18" i="4" s="1"/>
  <c r="A17" i="4"/>
  <c r="B17" i="4" s="1"/>
  <c r="F3" i="4"/>
  <c r="D17" i="4"/>
  <c r="E17" i="4" s="1"/>
  <c r="F2" i="4"/>
  <c r="D18" i="4"/>
  <c r="E18" i="4" s="1"/>
  <c r="D20" i="4"/>
  <c r="E20" i="4" s="1"/>
  <c r="A18" i="4"/>
  <c r="B18" i="4" s="1"/>
  <c r="F15" i="4"/>
  <c r="A5" i="4"/>
  <c r="D4" i="4"/>
  <c r="E4" i="4" s="1"/>
  <c r="D5" i="4"/>
  <c r="E5" i="4" s="1"/>
  <c r="D3" i="4"/>
  <c r="E3" i="4" s="1"/>
  <c r="D2" i="4"/>
  <c r="N31" i="1"/>
  <c r="O31" i="1" s="1"/>
  <c r="N13" i="1"/>
  <c r="O13" i="1" s="1"/>
  <c r="O12" i="1"/>
  <c r="O18" i="1"/>
  <c r="O19" i="1"/>
  <c r="O25" i="1"/>
  <c r="O7" i="1"/>
  <c r="O22" i="1"/>
  <c r="O17" i="1"/>
  <c r="O23" i="1"/>
  <c r="O11" i="1"/>
  <c r="O4" i="1"/>
  <c r="N33" i="1"/>
  <c r="O33" i="1" s="1"/>
  <c r="N27" i="1"/>
  <c r="O27" i="1" s="1"/>
  <c r="O37" i="1"/>
  <c r="O21" i="1"/>
  <c r="O10" i="1"/>
  <c r="O3" i="1"/>
  <c r="N32" i="1"/>
  <c r="O32" i="1" s="1"/>
  <c r="N26" i="1"/>
  <c r="O26" i="1" s="1"/>
  <c r="N20" i="1"/>
  <c r="O20" i="1" s="1"/>
  <c r="N14" i="1"/>
  <c r="O14" i="1" s="1"/>
  <c r="N8" i="1"/>
  <c r="O8" i="1" s="1"/>
  <c r="N2" i="1"/>
  <c r="O16" i="1"/>
  <c r="O5" i="1"/>
  <c r="O24" i="1"/>
  <c r="O29" i="1"/>
  <c r="O36" i="1"/>
  <c r="O15" i="1"/>
  <c r="O9" i="1"/>
  <c r="O30" i="1"/>
  <c r="O35" i="1"/>
  <c r="O28" i="1"/>
  <c r="O6" i="1"/>
  <c r="O34" i="1"/>
  <c r="Q37" i="1"/>
  <c r="R37" i="1" s="1"/>
  <c r="R4" i="1"/>
  <c r="R3" i="1"/>
  <c r="I18" i="4" l="1"/>
  <c r="H19" i="4" s="1"/>
  <c r="M16" i="4"/>
  <c r="B5" i="4"/>
  <c r="F5" i="4"/>
  <c r="E2" i="4"/>
  <c r="E7" i="4" s="1"/>
  <c r="D7" i="4"/>
  <c r="F16" i="4"/>
  <c r="A19" i="4"/>
  <c r="B19" i="4" s="1"/>
  <c r="F17" i="4"/>
  <c r="A6" i="4"/>
  <c r="N38" i="1"/>
  <c r="O38" i="1" s="1"/>
  <c r="O2" i="1"/>
  <c r="I19" i="4" l="1"/>
  <c r="H20" i="4" s="1"/>
  <c r="M17" i="4"/>
  <c r="B6" i="4"/>
  <c r="F6" i="4"/>
  <c r="A20" i="4"/>
  <c r="B20" i="4" s="1"/>
  <c r="A21" i="4" s="1"/>
  <c r="M18" i="4" l="1"/>
  <c r="I20" i="4"/>
  <c r="H21" i="4" s="1"/>
  <c r="M19" i="4"/>
  <c r="B21" i="4"/>
  <c r="A22" i="4" s="1"/>
  <c r="F20" i="4"/>
  <c r="F18" i="4"/>
  <c r="F19" i="4"/>
  <c r="I21" i="4" l="1"/>
  <c r="H22" i="4" s="1"/>
  <c r="M20" i="4"/>
  <c r="F21" i="4"/>
  <c r="B22" i="4"/>
  <c r="F22" i="4"/>
  <c r="I22" i="4" l="1"/>
  <c r="M21" i="4"/>
  <c r="M2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<sst xmlns="http://schemas.openxmlformats.org/spreadsheetml/2006/main" count="80" uniqueCount="45">
  <si>
    <t>X</t>
  </si>
  <si>
    <t>Y</t>
  </si>
  <si>
    <t>mi</t>
  </si>
  <si>
    <t>xi</t>
  </si>
  <si>
    <t>hi</t>
  </si>
  <si>
    <t>Итого</t>
  </si>
  <si>
    <t>yi</t>
  </si>
  <si>
    <t>ср ариф</t>
  </si>
  <si>
    <t>дисперсия</t>
  </si>
  <si>
    <t>ср кв откл</t>
  </si>
  <si>
    <t>мода</t>
  </si>
  <si>
    <t>медиана</t>
  </si>
  <si>
    <t>коэф вари</t>
  </si>
  <si>
    <t>n</t>
  </si>
  <si>
    <t>W</t>
  </si>
  <si>
    <t>W/h</t>
  </si>
  <si>
    <t>Середина</t>
  </si>
  <si>
    <t>[5,5; 6,38]</t>
  </si>
  <si>
    <t>(6,38; 7,26]</t>
  </si>
  <si>
    <t>(7,26; 8,14]</t>
  </si>
  <si>
    <t>(8,14; 9,02]</t>
  </si>
  <si>
    <t>(9,02; 9,9]</t>
  </si>
  <si>
    <t>[16; 29,2]</t>
  </si>
  <si>
    <t>(29,2; 42,4]</t>
  </si>
  <si>
    <t>(42,4; 55,6]</t>
  </si>
  <si>
    <t>(55,6; 68,8]</t>
  </si>
  <si>
    <t>(68,8; 82]</t>
  </si>
  <si>
    <t>[5,1857; 5,8227]</t>
  </si>
  <si>
    <t>(5,8227; 6,4597]</t>
  </si>
  <si>
    <t>(6,4597; 7,0967]</t>
  </si>
  <si>
    <t>(7,0967; 7,7337]</t>
  </si>
  <si>
    <t>(7,7337; 8,3707]</t>
  </si>
  <si>
    <t>(8,3707; 9,0077]</t>
  </si>
  <si>
    <t>(9,0077; 9,6447]</t>
  </si>
  <si>
    <t>(9,6447; 10,2817</t>
  </si>
  <si>
    <t>[11,2857; 20,8457]</t>
  </si>
  <si>
    <t>(20,8457; 30,4057]</t>
  </si>
  <si>
    <t>(30,4057; 39,9657]</t>
  </si>
  <si>
    <t>(39,9657; 49,5257]</t>
  </si>
  <si>
    <t>(49,5257; 59,0857]</t>
  </si>
  <si>
    <t>(59,0857; 68,6457]</t>
  </si>
  <si>
    <t>(68,6457; 78,2057]</t>
  </si>
  <si>
    <t>(78,2057; 87,7657]</t>
  </si>
  <si>
    <t>выбор ср</t>
  </si>
  <si>
    <t>выб дисп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</si>
</sst>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CC2E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3" fillId="0" borderId="0" xfId="0" applyNumberFormat="1" applyFont="1"/>
    <xf numFmtId="0" fontId="5" fillId="0" borderId="0" xfId="0" applyFont="1"/>
    <xf numFmtId="2" fontId="0" fillId="0" borderId="0" xfId="0" applyNumberFormat="1"/>
    <xf numFmtId="0" fontId="3" fillId="0" borderId="0" xfId="1" applyNumberFormat="1" applyFont="1"/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относительных частот СВ </a:t>
            </a:r>
            <a:r>
              <a:rPr lang="en-US" baseline="0"/>
              <a:t>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2"/>
          <c:y val="0.16708333333333336"/>
          <c:w val="0.8563455818022747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Выборки!$O$1</c:f>
              <c:strCache>
                <c:ptCount val="1"/>
                <c:pt idx="0">
                  <c:v>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Выборки!$M$2:$M$37</c:f>
              <c:numCache>
                <c:formatCode>0.0</c:formatCode>
                <c:ptCount val="36"/>
                <c:pt idx="0">
                  <c:v>5.5</c:v>
                </c:pt>
                <c:pt idx="1">
                  <c:v>5.6</c:v>
                </c:pt>
                <c:pt idx="2">
                  <c:v>5.7</c:v>
                </c:pt>
                <c:pt idx="3">
                  <c:v>5.8</c:v>
                </c:pt>
                <c:pt idx="4">
                  <c:v>5.9</c:v>
                </c:pt>
                <c:pt idx="5">
                  <c:v>6</c:v>
                </c:pt>
                <c:pt idx="6">
                  <c:v>6.1</c:v>
                </c:pt>
                <c:pt idx="7">
                  <c:v>6.2</c:v>
                </c:pt>
                <c:pt idx="8">
                  <c:v>6.3</c:v>
                </c:pt>
                <c:pt idx="9">
                  <c:v>6.9</c:v>
                </c:pt>
                <c:pt idx="10">
                  <c:v>7</c:v>
                </c:pt>
                <c:pt idx="11">
                  <c:v>7.1</c:v>
                </c:pt>
                <c:pt idx="12">
                  <c:v>7.2</c:v>
                </c:pt>
                <c:pt idx="13">
                  <c:v>7.3</c:v>
                </c:pt>
                <c:pt idx="14">
                  <c:v>7.5</c:v>
                </c:pt>
                <c:pt idx="15">
                  <c:v>7.6</c:v>
                </c:pt>
                <c:pt idx="16">
                  <c:v>7.7</c:v>
                </c:pt>
                <c:pt idx="17">
                  <c:v>7.8</c:v>
                </c:pt>
                <c:pt idx="18">
                  <c:v>7.9</c:v>
                </c:pt>
                <c:pt idx="19">
                  <c:v>8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8.4</c:v>
                </c:pt>
                <c:pt idx="23">
                  <c:v>8.5</c:v>
                </c:pt>
                <c:pt idx="24">
                  <c:v>8.6</c:v>
                </c:pt>
                <c:pt idx="25">
                  <c:v>8.8000000000000007</c:v>
                </c:pt>
                <c:pt idx="26">
                  <c:v>8.9</c:v>
                </c:pt>
                <c:pt idx="27">
                  <c:v>9</c:v>
                </c:pt>
                <c:pt idx="28">
                  <c:v>9.1</c:v>
                </c:pt>
                <c:pt idx="29">
                  <c:v>9.1999999999999993</c:v>
                </c:pt>
                <c:pt idx="30">
                  <c:v>9.3000000000000007</c:v>
                </c:pt>
                <c:pt idx="31">
                  <c:v>9.4</c:v>
                </c:pt>
                <c:pt idx="32">
                  <c:v>9.5</c:v>
                </c:pt>
                <c:pt idx="33">
                  <c:v>9.6</c:v>
                </c:pt>
                <c:pt idx="34">
                  <c:v>9.8000000000000007</c:v>
                </c:pt>
                <c:pt idx="35">
                  <c:v>9.9</c:v>
                </c:pt>
              </c:numCache>
            </c:numRef>
          </c:cat>
          <c:val>
            <c:numRef>
              <c:f>Выборки!$O$2:$O$37</c:f>
              <c:numCache>
                <c:formatCode>0.0000</c:formatCode>
                <c:ptCount val="36"/>
                <c:pt idx="0">
                  <c:v>1.6666666666666666E-2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0.05</c:v>
                </c:pt>
                <c:pt idx="4">
                  <c:v>1.6666666666666666E-2</c:v>
                </c:pt>
                <c:pt idx="5">
                  <c:v>1.6666666666666666E-2</c:v>
                </c:pt>
                <c:pt idx="6">
                  <c:v>3.3333333333333333E-2</c:v>
                </c:pt>
                <c:pt idx="7">
                  <c:v>1.6666666666666666E-2</c:v>
                </c:pt>
                <c:pt idx="8">
                  <c:v>1.6666666666666666E-2</c:v>
                </c:pt>
                <c:pt idx="9">
                  <c:v>3.3333333333333333E-2</c:v>
                </c:pt>
                <c:pt idx="10">
                  <c:v>1.6666666666666666E-2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1.6666666666666666E-2</c:v>
                </c:pt>
                <c:pt idx="14">
                  <c:v>1.6666666666666666E-2</c:v>
                </c:pt>
                <c:pt idx="15">
                  <c:v>3.3333333333333333E-2</c:v>
                </c:pt>
                <c:pt idx="16">
                  <c:v>1.6666666666666666E-2</c:v>
                </c:pt>
                <c:pt idx="17">
                  <c:v>3.3333333333333333E-2</c:v>
                </c:pt>
                <c:pt idx="18">
                  <c:v>3.3333333333333333E-2</c:v>
                </c:pt>
                <c:pt idx="19">
                  <c:v>3.3333333333333333E-2</c:v>
                </c:pt>
                <c:pt idx="20">
                  <c:v>6.6666666666666666E-2</c:v>
                </c:pt>
                <c:pt idx="21">
                  <c:v>3.3333333333333333E-2</c:v>
                </c:pt>
                <c:pt idx="22">
                  <c:v>1.6666666666666666E-2</c:v>
                </c:pt>
                <c:pt idx="23">
                  <c:v>3.3333333333333333E-2</c:v>
                </c:pt>
                <c:pt idx="24">
                  <c:v>3.3333333333333333E-2</c:v>
                </c:pt>
                <c:pt idx="25">
                  <c:v>1.6666666666666666E-2</c:v>
                </c:pt>
                <c:pt idx="26">
                  <c:v>1.6666666666666666E-2</c:v>
                </c:pt>
                <c:pt idx="27">
                  <c:v>0.05</c:v>
                </c:pt>
                <c:pt idx="28">
                  <c:v>1.6666666666666666E-2</c:v>
                </c:pt>
                <c:pt idx="29">
                  <c:v>0.05</c:v>
                </c:pt>
                <c:pt idx="30">
                  <c:v>1.6666666666666666E-2</c:v>
                </c:pt>
                <c:pt idx="31">
                  <c:v>1.6666666666666666E-2</c:v>
                </c:pt>
                <c:pt idx="32">
                  <c:v>0.05</c:v>
                </c:pt>
                <c:pt idx="33">
                  <c:v>1.6666666666666666E-2</c:v>
                </c:pt>
                <c:pt idx="34">
                  <c:v>3.3333333333333333E-2</c:v>
                </c:pt>
                <c:pt idx="35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E-494E-B3D7-D5F5A615F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968848"/>
        <c:axId val="52495768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Выборки!$M$4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1E-494E-B3D7-D5F5A615F37F}"/>
                  </c:ext>
                </c:extLst>
              </c15:ser>
            </c15:filteredLineSeries>
            <c15:filteredLineSeries>
              <c15:ser>
                <c:idx val="3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1E-494E-B3D7-D5F5A615F37F}"/>
                  </c:ext>
                </c:extLst>
              </c15:ser>
            </c15:filteredLineSeries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1E-494E-B3D7-D5F5A615F37F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B1E-494E-B3D7-D5F5A615F37F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B1E-494E-B3D7-D5F5A615F37F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B1E-494E-B3D7-D5F5A615F37F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B1E-494E-B3D7-D5F5A615F37F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B1E-494E-B3D7-D5F5A615F37F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B1E-494E-B3D7-D5F5A615F37F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B1E-494E-B3D7-D5F5A615F37F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B1E-494E-B3D7-D5F5A615F37F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B1E-494E-B3D7-D5F5A615F37F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B1E-494E-B3D7-D5F5A615F37F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B1E-494E-B3D7-D5F5A615F37F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B1E-494E-B3D7-D5F5A615F37F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B1E-494E-B3D7-D5F5A615F37F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B1E-494E-B3D7-D5F5A615F37F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B1E-494E-B3D7-D5F5A615F37F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B1E-494E-B3D7-D5F5A615F37F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B1E-494E-B3D7-D5F5A615F37F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B1E-494E-B3D7-D5F5A615F37F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B1E-494E-B3D7-D5F5A615F37F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B1E-494E-B3D7-D5F5A615F37F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B1E-494E-B3D7-D5F5A615F37F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B1E-494E-B3D7-D5F5A615F37F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B1E-494E-B3D7-D5F5A615F37F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B1E-494E-B3D7-D5F5A615F37F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B1E-494E-B3D7-D5F5A615F37F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B1E-494E-B3D7-D5F5A615F37F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B1E-494E-B3D7-D5F5A615F37F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B1E-494E-B3D7-D5F5A615F37F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2B1E-494E-B3D7-D5F5A615F37F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B1E-494E-B3D7-D5F5A615F37F}"/>
                  </c:ext>
                </c:extLst>
              </c15:ser>
            </c15:filteredLineSeries>
            <c15:filteredLineSeries>
              <c15:ser>
                <c:idx val="35"/>
                <c:order val="34"/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B1E-494E-B3D7-D5F5A615F37F}"/>
                  </c:ext>
                </c:extLst>
              </c15:ser>
            </c15:filteredLineSeries>
          </c:ext>
        </c:extLst>
      </c:lineChart>
      <c:catAx>
        <c:axId val="52496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57688"/>
        <c:crosses val="autoZero"/>
        <c:auto val="1"/>
        <c:lblAlgn val="ctr"/>
        <c:lblOffset val="0"/>
        <c:tickMarkSkip val="4"/>
        <c:noMultiLvlLbl val="0"/>
      </c:catAx>
      <c:valAx>
        <c:axId val="52495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относительных частот СВ </a:t>
            </a:r>
            <a:r>
              <a:rPr lang="en-US" baseline="0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2"/>
          <c:y val="0.16708333333333336"/>
          <c:w val="0.8563455818022747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Выборки!$R$1</c:f>
              <c:strCache>
                <c:ptCount val="1"/>
                <c:pt idx="0">
                  <c:v>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Выборки!$P$2:$P$36</c:f>
              <c:numCache>
                <c:formatCode>0</c:formatCode>
                <c:ptCount val="35"/>
                <c:pt idx="0">
                  <c:v>16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37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82</c:v>
                </c:pt>
              </c:numCache>
            </c:numRef>
          </c:cat>
          <c:val>
            <c:numRef>
              <c:f>Выборки!$R$2:$R$36</c:f>
              <c:numCache>
                <c:formatCode>0.0000</c:formatCode>
                <c:ptCount val="35"/>
                <c:pt idx="0">
                  <c:v>1.6666666666666666E-2</c:v>
                </c:pt>
                <c:pt idx="1">
                  <c:v>3.3333333333333333E-2</c:v>
                </c:pt>
                <c:pt idx="2">
                  <c:v>1.6666666666666666E-2</c:v>
                </c:pt>
                <c:pt idx="3">
                  <c:v>1.6666666666666666E-2</c:v>
                </c:pt>
                <c:pt idx="4">
                  <c:v>1.6666666666666666E-2</c:v>
                </c:pt>
                <c:pt idx="5">
                  <c:v>1.6666666666666666E-2</c:v>
                </c:pt>
                <c:pt idx="6">
                  <c:v>3.3333333333333333E-2</c:v>
                </c:pt>
                <c:pt idx="7">
                  <c:v>1.6666666666666666E-2</c:v>
                </c:pt>
                <c:pt idx="8">
                  <c:v>1.6666666666666666E-2</c:v>
                </c:pt>
                <c:pt idx="9">
                  <c:v>1.6666666666666666E-2</c:v>
                </c:pt>
                <c:pt idx="10">
                  <c:v>1.6666666666666666E-2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0.05</c:v>
                </c:pt>
                <c:pt idx="14">
                  <c:v>1.6666666666666666E-2</c:v>
                </c:pt>
                <c:pt idx="15">
                  <c:v>3.3333333333333333E-2</c:v>
                </c:pt>
                <c:pt idx="16">
                  <c:v>1.6666666666666666E-2</c:v>
                </c:pt>
                <c:pt idx="17">
                  <c:v>6.6666666666666666E-2</c:v>
                </c:pt>
                <c:pt idx="18">
                  <c:v>1.6666666666666666E-2</c:v>
                </c:pt>
                <c:pt idx="19">
                  <c:v>0.05</c:v>
                </c:pt>
                <c:pt idx="20">
                  <c:v>3.3333333333333333E-2</c:v>
                </c:pt>
                <c:pt idx="21">
                  <c:v>3.3333333333333333E-2</c:v>
                </c:pt>
                <c:pt idx="22">
                  <c:v>1.6666666666666666E-2</c:v>
                </c:pt>
                <c:pt idx="23">
                  <c:v>1.6666666666666666E-2</c:v>
                </c:pt>
                <c:pt idx="24">
                  <c:v>1.6666666666666666E-2</c:v>
                </c:pt>
                <c:pt idx="25">
                  <c:v>0.11666666666666667</c:v>
                </c:pt>
                <c:pt idx="26">
                  <c:v>0.05</c:v>
                </c:pt>
                <c:pt idx="27">
                  <c:v>3.3333333333333333E-2</c:v>
                </c:pt>
                <c:pt idx="28">
                  <c:v>1.6666666666666666E-2</c:v>
                </c:pt>
                <c:pt idx="29">
                  <c:v>1.6666666666666666E-2</c:v>
                </c:pt>
                <c:pt idx="30">
                  <c:v>0.05</c:v>
                </c:pt>
                <c:pt idx="31">
                  <c:v>1.6666666666666666E-2</c:v>
                </c:pt>
                <c:pt idx="32">
                  <c:v>1.6666666666666666E-2</c:v>
                </c:pt>
                <c:pt idx="33">
                  <c:v>1.6666666666666666E-2</c:v>
                </c:pt>
                <c:pt idx="34">
                  <c:v>1.6666666666666666E-2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2-4670-BEE7-D14D77FAB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968848"/>
        <c:axId val="52495768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Выборки!$M$4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312-4670-BEE7-D14D77FABFA5}"/>
                  </c:ext>
                </c:extLst>
              </c15:ser>
            </c15:filteredLineSeries>
            <c15:filteredLineSeries>
              <c15:ser>
                <c:idx val="3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12-4670-BEE7-D14D77FABFA5}"/>
                  </c:ext>
                </c:extLst>
              </c15:ser>
            </c15:filteredLineSeries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312-4670-BEE7-D14D77FABFA5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12-4670-BEE7-D14D77FABFA5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12-4670-BEE7-D14D77FABFA5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312-4670-BEE7-D14D77FABFA5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312-4670-BEE7-D14D77FABFA5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312-4670-BEE7-D14D77FABFA5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312-4670-BEE7-D14D77FABFA5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312-4670-BEE7-D14D77FABFA5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312-4670-BEE7-D14D77FABFA5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312-4670-BEE7-D14D77FABFA5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312-4670-BEE7-D14D77FABFA5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312-4670-BEE7-D14D77FABFA5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312-4670-BEE7-D14D77FABFA5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312-4670-BEE7-D14D77FABFA5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312-4670-BEE7-D14D77FABFA5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312-4670-BEE7-D14D77FABFA5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312-4670-BEE7-D14D77FABFA5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312-4670-BEE7-D14D77FABFA5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312-4670-BEE7-D14D77FABFA5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312-4670-BEE7-D14D77FABFA5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312-4670-BEE7-D14D77FABFA5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312-4670-BEE7-D14D77FABFA5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312-4670-BEE7-D14D77FABFA5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312-4670-BEE7-D14D77FABFA5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E312-4670-BEE7-D14D77FABFA5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E312-4670-BEE7-D14D77FABFA5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312-4670-BEE7-D14D77FABFA5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E312-4670-BEE7-D14D77FABFA5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E312-4670-BEE7-D14D77FABFA5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E312-4670-BEE7-D14D77FABFA5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E312-4670-BEE7-D14D77FABFA5}"/>
                  </c:ext>
                </c:extLst>
              </c15:ser>
            </c15:filteredLineSeries>
            <c15:filteredLineSeries>
              <c15:ser>
                <c:idx val="35"/>
                <c:order val="34"/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E312-4670-BEE7-D14D77FABFA5}"/>
                  </c:ext>
                </c:extLst>
              </c15:ser>
            </c15:filteredLineSeries>
          </c:ext>
        </c:extLst>
      </c:lineChart>
      <c:catAx>
        <c:axId val="52496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57688"/>
        <c:crosses val="autoZero"/>
        <c:auto val="1"/>
        <c:lblAlgn val="ctr"/>
        <c:lblOffset val="0"/>
        <c:tickMarkSkip val="4"/>
        <c:noMultiLvlLbl val="0"/>
      </c:catAx>
      <c:valAx>
        <c:axId val="52495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Лист2!$D$1</c:f>
              <c:strCache>
                <c:ptCount val="1"/>
                <c:pt idx="0">
                  <c:v>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Лист2!$A$2:$A$6</c:f>
              <c:strCache>
                <c:ptCount val="5"/>
                <c:pt idx="0">
                  <c:v>[5,5; 6,38]</c:v>
                </c:pt>
                <c:pt idx="1">
                  <c:v>(6,38; 7,26]</c:v>
                </c:pt>
                <c:pt idx="2">
                  <c:v>(7,26; 8,14]</c:v>
                </c:pt>
                <c:pt idx="3">
                  <c:v>(8,14; 9,02]</c:v>
                </c:pt>
                <c:pt idx="4">
                  <c:v>(9,02; 9,9]</c:v>
                </c:pt>
              </c:strCache>
            </c:strRef>
          </c:cat>
          <c:val>
            <c:numRef>
              <c:f>Лист2!$D$2:$D$6</c:f>
              <c:numCache>
                <c:formatCode>General</c:formatCode>
                <c:ptCount val="5"/>
                <c:pt idx="0">
                  <c:v>0.22727273000000001</c:v>
                </c:pt>
                <c:pt idx="1">
                  <c:v>0.13257575999999999</c:v>
                </c:pt>
                <c:pt idx="2">
                  <c:v>0.20833333000000001</c:v>
                </c:pt>
                <c:pt idx="3">
                  <c:v>0.30303029999999997</c:v>
                </c:pt>
                <c:pt idx="4">
                  <c:v>0.26515151999999997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B-4A75-A1D0-ECC87355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212136"/>
        <c:axId val="772212496"/>
      </c:barChart>
      <c:catAx>
        <c:axId val="772212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212496"/>
        <c:crosses val="autoZero"/>
        <c:auto val="1"/>
        <c:lblAlgn val="ctr"/>
        <c:lblOffset val="100"/>
        <c:noMultiLvlLbl val="0"/>
      </c:catAx>
      <c:valAx>
        <c:axId val="7722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212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Лист2!$J$1</c:f>
              <c:strCache>
                <c:ptCount val="1"/>
                <c:pt idx="0">
                  <c:v>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Лист2!$G$2:$G$6</c:f>
              <c:strCache>
                <c:ptCount val="5"/>
                <c:pt idx="0">
                  <c:v>[16; 29,2]</c:v>
                </c:pt>
                <c:pt idx="1">
                  <c:v>(29,2; 42,4]</c:v>
                </c:pt>
                <c:pt idx="2">
                  <c:v>(42,4; 55,6]</c:v>
                </c:pt>
                <c:pt idx="3">
                  <c:v>(55,6; 68,8]</c:v>
                </c:pt>
                <c:pt idx="4">
                  <c:v>(68,8; 82]</c:v>
                </c:pt>
              </c:strCache>
            </c:strRef>
          </c:cat>
          <c:val>
            <c:numRef>
              <c:f>Лист2!$J$2:$J$6</c:f>
              <c:numCache>
                <c:formatCode>General</c:formatCode>
                <c:ptCount val="5"/>
                <c:pt idx="0">
                  <c:v>0.24621199999999999</c:v>
                </c:pt>
                <c:pt idx="1">
                  <c:v>0.359848</c:v>
                </c:pt>
                <c:pt idx="2">
                  <c:v>0.397727</c:v>
                </c:pt>
                <c:pt idx="3">
                  <c:v>0.113636</c:v>
                </c:pt>
                <c:pt idx="4">
                  <c:v>1.8939000000000001E-2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8-4D5C-91B4-3074D7251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662192"/>
        <c:axId val="758661832"/>
      </c:barChart>
      <c:catAx>
        <c:axId val="75866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661832"/>
        <c:crosses val="autoZero"/>
        <c:auto val="1"/>
        <c:lblAlgn val="ctr"/>
        <c:lblOffset val="100"/>
        <c:noMultiLvlLbl val="0"/>
      </c:catAx>
      <c:valAx>
        <c:axId val="75866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66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Лист2!$P$1</c:f>
              <c:strCache>
                <c:ptCount val="1"/>
                <c:pt idx="0">
                  <c:v>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Лист2!$M$2:$M$9</c:f>
              <c:strCache>
                <c:ptCount val="8"/>
                <c:pt idx="0">
                  <c:v>[5,1857; 5,8227]</c:v>
                </c:pt>
                <c:pt idx="1">
                  <c:v>(5,8227; 6,4597]</c:v>
                </c:pt>
                <c:pt idx="2">
                  <c:v>(6,4597; 7,0967]</c:v>
                </c:pt>
                <c:pt idx="3">
                  <c:v>(7,0967; 7,7337]</c:v>
                </c:pt>
                <c:pt idx="4">
                  <c:v>(7,7337; 8,3707]</c:v>
                </c:pt>
                <c:pt idx="5">
                  <c:v>(8,3707; 9,0077]</c:v>
                </c:pt>
                <c:pt idx="6">
                  <c:v>(9,0077; 9,6447]</c:v>
                </c:pt>
                <c:pt idx="7">
                  <c:v>(9,6447; 10,2817</c:v>
                </c:pt>
              </c:strCache>
            </c:strRef>
          </c:cat>
          <c:val>
            <c:numRef>
              <c:f>Лист2!$P$2:$P$9</c:f>
              <c:numCache>
                <c:formatCode>General</c:formatCode>
                <c:ptCount val="8"/>
                <c:pt idx="0">
                  <c:v>0.15698599999999999</c:v>
                </c:pt>
                <c:pt idx="1">
                  <c:v>0.15698599999999999</c:v>
                </c:pt>
                <c:pt idx="2">
                  <c:v>7.8492999999999993E-2</c:v>
                </c:pt>
                <c:pt idx="3">
                  <c:v>0.23547899999999999</c:v>
                </c:pt>
                <c:pt idx="4">
                  <c:v>0.31397199999999997</c:v>
                </c:pt>
                <c:pt idx="5">
                  <c:v>0.26164300000000001</c:v>
                </c:pt>
                <c:pt idx="6">
                  <c:v>0.26164300000000001</c:v>
                </c:pt>
                <c:pt idx="7">
                  <c:v>0.104657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E-4873-B830-A5E59A78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484832"/>
        <c:axId val="772485552"/>
      </c:barChart>
      <c:catAx>
        <c:axId val="77248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Интервалы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485552"/>
        <c:crosses val="autoZero"/>
        <c:auto val="1"/>
        <c:lblAlgn val="ctr"/>
        <c:lblOffset val="100"/>
        <c:noMultiLvlLbl val="0"/>
      </c:catAx>
      <c:valAx>
        <c:axId val="7724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48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Лист2!$V$1</c:f>
              <c:strCache>
                <c:ptCount val="1"/>
                <c:pt idx="0">
                  <c:v>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Лист2!$S$2:$S$9</c:f>
              <c:strCache>
                <c:ptCount val="8"/>
                <c:pt idx="0">
                  <c:v>[11,2857; 20,8457]</c:v>
                </c:pt>
                <c:pt idx="1">
                  <c:v>(20,8457; 30,4057]</c:v>
                </c:pt>
                <c:pt idx="2">
                  <c:v>(30,4057; 39,9657]</c:v>
                </c:pt>
                <c:pt idx="3">
                  <c:v>(39,9657; 49,5257]</c:v>
                </c:pt>
                <c:pt idx="4">
                  <c:v>(49,5257; 59,0857]</c:v>
                </c:pt>
                <c:pt idx="5">
                  <c:v>(59,0857; 68,6457]</c:v>
                </c:pt>
                <c:pt idx="6">
                  <c:v>(68,6457; 78,2057]</c:v>
                </c:pt>
                <c:pt idx="7">
                  <c:v>(78,2057; 87,7657]</c:v>
                </c:pt>
              </c:strCache>
            </c:strRef>
          </c:cat>
          <c:val>
            <c:numRef>
              <c:f>Лист2!$V$2:$V$9</c:f>
              <c:numCache>
                <c:formatCode>General</c:formatCode>
                <c:ptCount val="8"/>
                <c:pt idx="0">
                  <c:v>8.7170000000000008E-3</c:v>
                </c:pt>
                <c:pt idx="1">
                  <c:v>1.7434000000000002E-2</c:v>
                </c:pt>
                <c:pt idx="2">
                  <c:v>1.5689999999999999E-2</c:v>
                </c:pt>
                <c:pt idx="3">
                  <c:v>2.4407000000000002E-2</c:v>
                </c:pt>
                <c:pt idx="4">
                  <c:v>2.6151000000000001E-2</c:v>
                </c:pt>
                <c:pt idx="5">
                  <c:v>1.0460000000000001E-2</c:v>
                </c:pt>
                <c:pt idx="6">
                  <c:v>0</c:v>
                </c:pt>
                <c:pt idx="7">
                  <c:v>1.743E-3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8-48AA-98CD-7942FEF81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783040"/>
        <c:axId val="769780880"/>
      </c:barChart>
      <c:catAx>
        <c:axId val="76978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Интервалы</a:t>
                </a:r>
                <a:endParaRPr lang="ru-RU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780880"/>
        <c:crosses val="autoZero"/>
        <c:auto val="1"/>
        <c:lblAlgn val="ctr"/>
        <c:lblOffset val="100"/>
        <c:noMultiLvlLbl val="0"/>
      </c:catAx>
      <c:valAx>
        <c:axId val="7697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978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219075</xdr:colOff>
      <xdr:row>26</xdr:row>
      <xdr:rowOff>104775</xdr:rowOff>
    </xdr:from>
    <xdr:to>
      <xdr:col>30</xdr:col>
      <xdr:colOff>523875</xdr:colOff>
      <xdr:row>41</xdr:row>
      <xdr:rowOff>104775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EB6ADB12-C396-E936-5B4F-487BEDFC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152400</xdr:colOff>
      <xdr:row>9</xdr:row>
      <xdr:rowOff>171450</xdr:rowOff>
    </xdr:from>
    <xdr:to>
      <xdr:col>29</xdr:col>
      <xdr:colOff>457200</xdr:colOff>
      <xdr:row>24</xdr:row>
      <xdr:rowOff>171450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9EE740E-7000-458F-A02A-4D4D84B8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227647</xdr:colOff>
      <xdr:row>7</xdr:row>
      <xdr:rowOff>465772</xdr:rowOff>
    </xdr:from>
    <xdr:to>
      <xdr:col>8</xdr:col>
      <xdr:colOff>529590</xdr:colOff>
      <xdr:row>20</xdr:row>
      <xdr:rowOff>154305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8D2506-9585-E38F-093E-05F3B8680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515302</xdr:colOff>
      <xdr:row>21</xdr:row>
      <xdr:rowOff>79057</xdr:rowOff>
    </xdr:from>
    <xdr:to>
      <xdr:col>10</xdr:col>
      <xdr:colOff>216217</xdr:colOff>
      <xdr:row>36</xdr:row>
      <xdr:rowOff>107632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8FEBF0-77B8-8021-8957-7B0FFB277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439102</xdr:colOff>
      <xdr:row>10</xdr:row>
      <xdr:rowOff>67627</xdr:rowOff>
    </xdr:from>
    <xdr:to>
      <xdr:col>17</xdr:col>
      <xdr:colOff>391477</xdr:colOff>
      <xdr:row>25</xdr:row>
      <xdr:rowOff>84772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CDC03B9-6F1A-D58E-8AF5-9BC35DBEB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583882</xdr:colOff>
      <xdr:row>10</xdr:row>
      <xdr:rowOff>37147</xdr:rowOff>
    </xdr:from>
    <xdr:to>
      <xdr:col>24</xdr:col>
      <xdr:colOff>303847</xdr:colOff>
      <xdr:row>25</xdr:row>
      <xdr:rowOff>58102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9EC75E8-D3FF-8436-D09A-510F5FD5A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B194-8BDE-4726-94CA-7D5FC37833F4}">
  <dimension ref="A1:T61"/>
  <sheetViews>
    <sheetView zoomScaleNormal="100" workbookViewId="0">
      <selection activeCell="B2" sqref="B2"/>
    </sheetView>
  </sheetViews>
  <sheetFormatPr defaultRowHeight="14.4" x14ac:dyDescent="0.3"/>
  <cols>
    <col min="1" max="1" width="8.88671875" style="6"/>
    <col min="2" max="4" width="8.88671875" style="2"/>
    <col min="5" max="5" width="10.44140625" bestFit="1" customWidth="1"/>
    <col min="7" max="7" width="8.88671875" style="6"/>
    <col min="8" max="10" width="8.88671875" style="2"/>
    <col min="11" max="11" width="9.44140625" style="2" bestFit="1" customWidth="1"/>
    <col min="12" max="20" width="8.88671875" style="2"/>
  </cols>
  <sheetData>
    <row r="1" spans="1:18" x14ac:dyDescent="0.3">
      <c r="A1" s="1" t="s">
        <v>0</v>
      </c>
      <c r="G1" s="1" t="s">
        <v>1</v>
      </c>
      <c r="H1" s="3"/>
      <c r="M1" s="12" t="s">
        <v>3</v>
      </c>
      <c r="N1" s="12" t="s">
        <v>2</v>
      </c>
      <c r="O1" s="12" t="s">
        <v>4</v>
      </c>
      <c r="P1" s="12" t="s">
        <v>6</v>
      </c>
      <c r="Q1" s="12" t="s">
        <v>2</v>
      </c>
      <c r="R1" s="12" t="s">
        <v>4</v>
      </c>
    </row>
    <row r="2" spans="1:18" x14ac:dyDescent="0.3">
      <c r="A2" s="4">
        <v>5.5</v>
      </c>
      <c r="B2" s="16">
        <f>AVERAGE(A2:A61)</f>
        <v>7.915</v>
      </c>
      <c r="D2" s="17" t="s">
        <v>7</v>
      </c>
      <c r="G2" s="4">
        <v>16</v>
      </c>
      <c r="H2" s="16">
        <f>AVERAGE(G2:G61)</f>
        <v>41.25</v>
      </c>
      <c r="M2" s="7">
        <f>A2</f>
        <v>5.5</v>
      </c>
      <c r="N2" s="8">
        <f t="shared" ref="N2:N37" si="0">COUNTIF($A$2:$A$61,M2)</f>
        <v>1</v>
      </c>
      <c r="O2" s="9">
        <f t="shared" ref="O2:O38" si="1">N2/COUNT($A$2:$A$61)</f>
        <v>1.6666666666666666E-2</v>
      </c>
      <c r="P2" s="13">
        <f>G2</f>
        <v>16</v>
      </c>
      <c r="Q2" s="13">
        <f>COUNTIF($G$2:$G$61,P2)</f>
        <v>1</v>
      </c>
      <c r="R2" s="14">
        <f t="shared" ref="R2:R37" si="2">Q2/COUNT($G$2:$G$61)</f>
        <v>1.6666666666666666E-2</v>
      </c>
    </row>
    <row r="3" spans="1:18" x14ac:dyDescent="0.3">
      <c r="A3" s="4">
        <v>5.6</v>
      </c>
      <c r="B3" s="2">
        <f>_xlfn.VAR.S(A2:A61)</f>
        <v>1.6792627118644166</v>
      </c>
      <c r="D3" s="2" t="s">
        <v>8</v>
      </c>
      <c r="G3" s="4">
        <v>18</v>
      </c>
      <c r="H3" s="2">
        <f>_xlfn.VAR.S(G2:G61)</f>
        <v>202.46186440677965</v>
      </c>
      <c r="M3" s="7">
        <f>IF(A3=A2,"",A3)</f>
        <v>5.6</v>
      </c>
      <c r="N3" s="8">
        <f t="shared" si="0"/>
        <v>1</v>
      </c>
      <c r="O3" s="9">
        <f t="shared" si="1"/>
        <v>1.6666666666666666E-2</v>
      </c>
      <c r="P3" s="13">
        <f>IF(G3=G2,"",G3)</f>
        <v>18</v>
      </c>
      <c r="Q3" s="13">
        <f t="shared" ref="Q3:Q36" si="3">COUNTIF($G$2:$G$61,P3)</f>
        <v>2</v>
      </c>
      <c r="R3" s="14">
        <f t="shared" si="2"/>
        <v>3.3333333333333333E-2</v>
      </c>
    </row>
    <row r="4" spans="1:18" x14ac:dyDescent="0.3">
      <c r="A4" s="4">
        <v>5.7</v>
      </c>
      <c r="B4" s="2">
        <f>_xlfn.STDEV.S(A2:A61)</f>
        <v>1.2958636933969625</v>
      </c>
      <c r="D4" s="2" t="s">
        <v>9</v>
      </c>
      <c r="G4" s="5">
        <v>18</v>
      </c>
      <c r="H4" s="2">
        <f>_xlfn.STDEV.S(G2:G61)</f>
        <v>14.228909459504607</v>
      </c>
      <c r="M4" s="7">
        <f>IF(A4=A3,"",A4)</f>
        <v>5.7</v>
      </c>
      <c r="N4" s="8">
        <f t="shared" si="0"/>
        <v>1</v>
      </c>
      <c r="O4" s="9">
        <f t="shared" si="1"/>
        <v>1.6666666666666666E-2</v>
      </c>
      <c r="P4" s="13">
        <f>IF(G5=G4,"",G5)</f>
        <v>19</v>
      </c>
      <c r="Q4" s="13">
        <f t="shared" si="3"/>
        <v>1</v>
      </c>
      <c r="R4" s="14">
        <f t="shared" si="2"/>
        <v>1.6666666666666666E-2</v>
      </c>
    </row>
    <row r="5" spans="1:18" x14ac:dyDescent="0.3">
      <c r="A5" s="4">
        <v>5.8</v>
      </c>
      <c r="B5" s="19">
        <f>B4/B2</f>
        <v>0.1637225133792751</v>
      </c>
      <c r="D5" s="2" t="s">
        <v>12</v>
      </c>
      <c r="G5" s="4">
        <v>19</v>
      </c>
      <c r="H5" s="19">
        <f>H4/H2</f>
        <v>0.34494325962435413</v>
      </c>
      <c r="M5" s="7">
        <f>IF(A5=A4,"",A5)</f>
        <v>5.8</v>
      </c>
      <c r="N5" s="8">
        <f t="shared" si="0"/>
        <v>3</v>
      </c>
      <c r="O5" s="9">
        <f t="shared" si="1"/>
        <v>0.05</v>
      </c>
      <c r="P5" s="13">
        <f>IF(G6=G5,"",G6)</f>
        <v>20</v>
      </c>
      <c r="Q5" s="13">
        <f t="shared" si="3"/>
        <v>1</v>
      </c>
      <c r="R5" s="14">
        <f t="shared" si="2"/>
        <v>1.6666666666666666E-2</v>
      </c>
    </row>
    <row r="6" spans="1:18" x14ac:dyDescent="0.3">
      <c r="A6" s="4">
        <v>5.8</v>
      </c>
      <c r="B6" s="2">
        <f>_xlfn.MODE.SNGL(A2:A61)</f>
        <v>8.1999999999999993</v>
      </c>
      <c r="D6" s="2" t="s">
        <v>10</v>
      </c>
      <c r="G6" s="4">
        <v>20</v>
      </c>
      <c r="H6" s="2">
        <f>_xlfn.MODE.SNGL(G2:G61)</f>
        <v>51</v>
      </c>
      <c r="M6" s="7">
        <f>IF(A8=A7,"",A8)</f>
        <v>5.9</v>
      </c>
      <c r="N6" s="8">
        <f t="shared" si="0"/>
        <v>1</v>
      </c>
      <c r="O6" s="9">
        <f t="shared" si="1"/>
        <v>1.6666666666666666E-2</v>
      </c>
      <c r="P6" s="13">
        <f>IF(G7=G6,"",G7)</f>
        <v>21</v>
      </c>
      <c r="Q6" s="13">
        <f t="shared" si="3"/>
        <v>1</v>
      </c>
      <c r="R6" s="14">
        <f t="shared" si="2"/>
        <v>1.6666666666666666E-2</v>
      </c>
    </row>
    <row r="7" spans="1:18" x14ac:dyDescent="0.3">
      <c r="A7" s="4">
        <v>5.8</v>
      </c>
      <c r="B7" s="16">
        <f>MEDIAN(A2:A61)</f>
        <v>8.1</v>
      </c>
      <c r="D7" s="2" t="s">
        <v>11</v>
      </c>
      <c r="G7" s="5">
        <v>21</v>
      </c>
      <c r="H7" s="16">
        <f>MEDIAN(G2:G61)</f>
        <v>42</v>
      </c>
      <c r="M7" s="7">
        <f>IF(A9=A8,"",A9)</f>
        <v>6</v>
      </c>
      <c r="N7" s="8">
        <f t="shared" si="0"/>
        <v>1</v>
      </c>
      <c r="O7" s="9">
        <f t="shared" si="1"/>
        <v>1.6666666666666666E-2</v>
      </c>
      <c r="P7" s="13">
        <f>IF(G8=G7,"",G8)</f>
        <v>22</v>
      </c>
      <c r="Q7" s="13">
        <f t="shared" si="3"/>
        <v>1</v>
      </c>
      <c r="R7" s="14">
        <f t="shared" si="2"/>
        <v>1.6666666666666666E-2</v>
      </c>
    </row>
    <row r="8" spans="1:18" x14ac:dyDescent="0.3">
      <c r="A8" s="5">
        <v>5.9</v>
      </c>
      <c r="G8" s="4">
        <v>22</v>
      </c>
      <c r="M8" s="7">
        <f>IF(A10=A9,"",A10)</f>
        <v>6.1</v>
      </c>
      <c r="N8" s="8">
        <f t="shared" si="0"/>
        <v>2</v>
      </c>
      <c r="O8" s="9">
        <f t="shared" si="1"/>
        <v>3.3333333333333333E-2</v>
      </c>
      <c r="P8" s="13">
        <f>IF(G9=G8,"",G9)</f>
        <v>23</v>
      </c>
      <c r="Q8" s="13">
        <f t="shared" si="3"/>
        <v>2</v>
      </c>
      <c r="R8" s="14">
        <f t="shared" si="2"/>
        <v>3.3333333333333333E-2</v>
      </c>
    </row>
    <row r="9" spans="1:18" x14ac:dyDescent="0.3">
      <c r="A9" s="4">
        <v>6</v>
      </c>
      <c r="G9" s="4">
        <v>23</v>
      </c>
      <c r="M9" s="7">
        <f>IF(A12=A11,"",A12)</f>
        <v>6.2</v>
      </c>
      <c r="N9" s="8">
        <f t="shared" si="0"/>
        <v>1</v>
      </c>
      <c r="O9" s="9">
        <f t="shared" si="1"/>
        <v>1.6666666666666666E-2</v>
      </c>
      <c r="P9" s="13">
        <f>IF(G11=G10,"",G11)</f>
        <v>24</v>
      </c>
      <c r="Q9" s="13">
        <f t="shared" si="3"/>
        <v>1</v>
      </c>
      <c r="R9" s="14">
        <f t="shared" si="2"/>
        <v>1.6666666666666666E-2</v>
      </c>
    </row>
    <row r="10" spans="1:18" x14ac:dyDescent="0.3">
      <c r="A10" s="4">
        <v>6.1</v>
      </c>
      <c r="G10" s="4">
        <v>23</v>
      </c>
      <c r="M10" s="7">
        <f>IF(A13=A12,"",A13)</f>
        <v>6.3</v>
      </c>
      <c r="N10" s="8">
        <f t="shared" si="0"/>
        <v>1</v>
      </c>
      <c r="O10" s="9">
        <f t="shared" si="1"/>
        <v>1.6666666666666666E-2</v>
      </c>
      <c r="P10" s="13">
        <f>IF(G12=G11,"",G12)</f>
        <v>26</v>
      </c>
      <c r="Q10" s="13">
        <f t="shared" si="3"/>
        <v>1</v>
      </c>
      <c r="R10" s="14">
        <f t="shared" si="2"/>
        <v>1.6666666666666666E-2</v>
      </c>
    </row>
    <row r="11" spans="1:18" x14ac:dyDescent="0.3">
      <c r="A11" s="5">
        <v>6.1</v>
      </c>
      <c r="G11" s="5">
        <v>24</v>
      </c>
      <c r="M11" s="7">
        <f>IF(A14=A13,"",A14)</f>
        <v>6.9</v>
      </c>
      <c r="N11" s="8">
        <f t="shared" si="0"/>
        <v>2</v>
      </c>
      <c r="O11" s="9">
        <f t="shared" si="1"/>
        <v>3.3333333333333333E-2</v>
      </c>
      <c r="P11" s="13">
        <f>IF(G13=G12,"",G13)</f>
        <v>28</v>
      </c>
      <c r="Q11" s="13">
        <f t="shared" si="3"/>
        <v>1</v>
      </c>
      <c r="R11" s="14">
        <f t="shared" si="2"/>
        <v>1.6666666666666666E-2</v>
      </c>
    </row>
    <row r="12" spans="1:18" x14ac:dyDescent="0.3">
      <c r="A12" s="4">
        <v>6.2</v>
      </c>
      <c r="G12" s="5">
        <v>26</v>
      </c>
      <c r="M12" s="7">
        <f>IF(A16=A15,"",A16)</f>
        <v>7</v>
      </c>
      <c r="N12" s="8">
        <f t="shared" si="0"/>
        <v>1</v>
      </c>
      <c r="O12" s="9">
        <f t="shared" si="1"/>
        <v>1.6666666666666666E-2</v>
      </c>
      <c r="P12" s="13">
        <f>IF(G14=G13,"",G14)</f>
        <v>29</v>
      </c>
      <c r="Q12" s="13">
        <f t="shared" si="3"/>
        <v>1</v>
      </c>
      <c r="R12" s="14">
        <f t="shared" si="2"/>
        <v>1.6666666666666666E-2</v>
      </c>
    </row>
    <row r="13" spans="1:18" x14ac:dyDescent="0.3">
      <c r="A13" s="4">
        <v>6.3</v>
      </c>
      <c r="G13" s="4">
        <v>28</v>
      </c>
      <c r="M13" s="7">
        <f>IF(A17=A16,"",A17)</f>
        <v>7.1</v>
      </c>
      <c r="N13" s="8">
        <f t="shared" si="0"/>
        <v>2</v>
      </c>
      <c r="O13" s="9">
        <f t="shared" si="1"/>
        <v>3.3333333333333333E-2</v>
      </c>
      <c r="P13" s="13">
        <f>IF(G15=G14,"",G15)</f>
        <v>30</v>
      </c>
      <c r="Q13" s="13">
        <f t="shared" si="3"/>
        <v>2</v>
      </c>
      <c r="R13" s="14">
        <f t="shared" si="2"/>
        <v>3.3333333333333333E-2</v>
      </c>
    </row>
    <row r="14" spans="1:18" x14ac:dyDescent="0.3">
      <c r="A14" s="5">
        <v>6.9</v>
      </c>
      <c r="G14" s="4">
        <v>29</v>
      </c>
      <c r="M14" s="7">
        <f>IF(A19=A18,"",A19)</f>
        <v>7.2</v>
      </c>
      <c r="N14" s="8">
        <f t="shared" si="0"/>
        <v>2</v>
      </c>
      <c r="O14" s="9">
        <f t="shared" si="1"/>
        <v>3.3333333333333333E-2</v>
      </c>
      <c r="P14" s="13">
        <f>IF(G17=G16,"",G17)</f>
        <v>31</v>
      </c>
      <c r="Q14" s="13">
        <f t="shared" si="3"/>
        <v>2</v>
      </c>
      <c r="R14" s="14">
        <f t="shared" si="2"/>
        <v>3.3333333333333333E-2</v>
      </c>
    </row>
    <row r="15" spans="1:18" x14ac:dyDescent="0.3">
      <c r="A15" s="4">
        <v>6.9</v>
      </c>
      <c r="G15" s="5">
        <v>30</v>
      </c>
      <c r="M15" s="7">
        <f>IF(A21=A20,"",A21)</f>
        <v>7.3</v>
      </c>
      <c r="N15" s="8">
        <f t="shared" si="0"/>
        <v>1</v>
      </c>
      <c r="O15" s="9">
        <f t="shared" si="1"/>
        <v>1.6666666666666666E-2</v>
      </c>
      <c r="P15" s="13">
        <f>IF(G19=G18,"",G19)</f>
        <v>33</v>
      </c>
      <c r="Q15" s="13">
        <f t="shared" si="3"/>
        <v>3</v>
      </c>
      <c r="R15" s="14">
        <f t="shared" si="2"/>
        <v>0.05</v>
      </c>
    </row>
    <row r="16" spans="1:18" x14ac:dyDescent="0.3">
      <c r="A16" s="4">
        <v>7</v>
      </c>
      <c r="G16" s="5">
        <v>30</v>
      </c>
      <c r="M16" s="7">
        <f>IF(A22=A21,"",A22)</f>
        <v>7.5</v>
      </c>
      <c r="N16" s="8">
        <f t="shared" si="0"/>
        <v>1</v>
      </c>
      <c r="O16" s="9">
        <f t="shared" si="1"/>
        <v>1.6666666666666666E-2</v>
      </c>
      <c r="P16" s="13">
        <f>IF(G22=G21,"",G22)</f>
        <v>34</v>
      </c>
      <c r="Q16" s="13">
        <f t="shared" si="3"/>
        <v>1</v>
      </c>
      <c r="R16" s="14">
        <f t="shared" si="2"/>
        <v>1.6666666666666666E-2</v>
      </c>
    </row>
    <row r="17" spans="1:18" x14ac:dyDescent="0.3">
      <c r="A17" s="4">
        <v>7.1</v>
      </c>
      <c r="G17" s="5">
        <v>31</v>
      </c>
      <c r="M17" s="7">
        <f>IF(A23=A22,"",A23)</f>
        <v>7.6</v>
      </c>
      <c r="N17" s="8">
        <f t="shared" si="0"/>
        <v>2</v>
      </c>
      <c r="O17" s="9">
        <f t="shared" si="1"/>
        <v>3.3333333333333333E-2</v>
      </c>
      <c r="P17" s="13">
        <f>IF(G23=G22,"",G23)</f>
        <v>35</v>
      </c>
      <c r="Q17" s="13">
        <f t="shared" si="3"/>
        <v>2</v>
      </c>
      <c r="R17" s="14">
        <f t="shared" si="2"/>
        <v>3.3333333333333333E-2</v>
      </c>
    </row>
    <row r="18" spans="1:18" x14ac:dyDescent="0.3">
      <c r="A18" s="4">
        <v>7.1</v>
      </c>
      <c r="G18" s="5">
        <v>31</v>
      </c>
      <c r="M18" s="7">
        <f>IF(A25=A24,"",A25)</f>
        <v>7.7</v>
      </c>
      <c r="N18" s="8">
        <f t="shared" si="0"/>
        <v>1</v>
      </c>
      <c r="O18" s="9">
        <f t="shared" si="1"/>
        <v>1.6666666666666666E-2</v>
      </c>
      <c r="P18" s="13">
        <f>IF(G25=G24,"",G25)</f>
        <v>37</v>
      </c>
      <c r="Q18" s="13">
        <f t="shared" si="3"/>
        <v>1</v>
      </c>
      <c r="R18" s="14">
        <f t="shared" si="2"/>
        <v>1.6666666666666666E-2</v>
      </c>
    </row>
    <row r="19" spans="1:18" x14ac:dyDescent="0.3">
      <c r="A19" s="5">
        <v>7.2</v>
      </c>
      <c r="G19" s="5">
        <v>33</v>
      </c>
      <c r="M19" s="7">
        <f>IF(A26=A25,"",A26)</f>
        <v>7.8</v>
      </c>
      <c r="N19" s="8">
        <f t="shared" si="0"/>
        <v>2</v>
      </c>
      <c r="O19" s="9">
        <f t="shared" si="1"/>
        <v>3.3333333333333333E-2</v>
      </c>
      <c r="P19" s="13">
        <f>IF(G26=G25,"",G26)</f>
        <v>40</v>
      </c>
      <c r="Q19" s="13">
        <f t="shared" si="3"/>
        <v>4</v>
      </c>
      <c r="R19" s="14">
        <f t="shared" si="2"/>
        <v>6.6666666666666666E-2</v>
      </c>
    </row>
    <row r="20" spans="1:18" x14ac:dyDescent="0.3">
      <c r="A20" s="5">
        <v>7.2</v>
      </c>
      <c r="G20" s="4">
        <v>33</v>
      </c>
      <c r="M20" s="7">
        <f>IF(A28=A27,"",A28)</f>
        <v>7.9</v>
      </c>
      <c r="N20" s="8">
        <f t="shared" si="0"/>
        <v>2</v>
      </c>
      <c r="O20" s="9">
        <f t="shared" si="1"/>
        <v>3.3333333333333333E-2</v>
      </c>
      <c r="P20" s="13">
        <f>IF(G30=G29,"",G30)</f>
        <v>41</v>
      </c>
      <c r="Q20" s="13">
        <f t="shared" si="3"/>
        <v>1</v>
      </c>
      <c r="R20" s="14">
        <f t="shared" si="2"/>
        <v>1.6666666666666666E-2</v>
      </c>
    </row>
    <row r="21" spans="1:18" x14ac:dyDescent="0.3">
      <c r="A21" s="4">
        <v>7.3</v>
      </c>
      <c r="G21" s="4">
        <v>33</v>
      </c>
      <c r="M21" s="7">
        <f>IF(A30=A29,"",A30)</f>
        <v>8</v>
      </c>
      <c r="N21" s="8">
        <f t="shared" si="0"/>
        <v>2</v>
      </c>
      <c r="O21" s="9">
        <f t="shared" si="1"/>
        <v>3.3333333333333333E-2</v>
      </c>
      <c r="P21" s="13">
        <f>IF(G31=G30,"",G31)</f>
        <v>42</v>
      </c>
      <c r="Q21" s="13">
        <f t="shared" si="3"/>
        <v>3</v>
      </c>
      <c r="R21" s="14">
        <f t="shared" si="2"/>
        <v>0.05</v>
      </c>
    </row>
    <row r="22" spans="1:18" x14ac:dyDescent="0.3">
      <c r="A22" s="4">
        <v>7.5</v>
      </c>
      <c r="G22" s="4">
        <v>34</v>
      </c>
      <c r="M22" s="7">
        <f>IF(A32=A31,"",A32)</f>
        <v>8.1999999999999993</v>
      </c>
      <c r="N22" s="8">
        <f t="shared" si="0"/>
        <v>4</v>
      </c>
      <c r="O22" s="9">
        <f t="shared" si="1"/>
        <v>6.6666666666666666E-2</v>
      </c>
      <c r="P22" s="13">
        <f>IF(G34=G33,"",G34)</f>
        <v>43</v>
      </c>
      <c r="Q22" s="13">
        <f t="shared" si="3"/>
        <v>2</v>
      </c>
      <c r="R22" s="14">
        <f t="shared" si="2"/>
        <v>3.3333333333333333E-2</v>
      </c>
    </row>
    <row r="23" spans="1:18" x14ac:dyDescent="0.3">
      <c r="A23" s="4">
        <v>7.6</v>
      </c>
      <c r="G23" s="4">
        <v>35</v>
      </c>
      <c r="M23" s="7">
        <f>IF(A36=A35,"",A36)</f>
        <v>8.3000000000000007</v>
      </c>
      <c r="N23" s="8">
        <f t="shared" si="0"/>
        <v>2</v>
      </c>
      <c r="O23" s="9">
        <f t="shared" si="1"/>
        <v>3.3333333333333333E-2</v>
      </c>
      <c r="P23" s="13">
        <f>IF(G36=G35,"",G36)</f>
        <v>44</v>
      </c>
      <c r="Q23" s="13">
        <f t="shared" si="3"/>
        <v>2</v>
      </c>
      <c r="R23" s="14">
        <f t="shared" si="2"/>
        <v>3.3333333333333333E-2</v>
      </c>
    </row>
    <row r="24" spans="1:18" x14ac:dyDescent="0.3">
      <c r="A24" s="5">
        <v>7.6</v>
      </c>
      <c r="G24" s="5">
        <v>35</v>
      </c>
      <c r="M24" s="7">
        <f>IF(A38=A37,"",A38)</f>
        <v>8.4</v>
      </c>
      <c r="N24" s="8">
        <f t="shared" si="0"/>
        <v>1</v>
      </c>
      <c r="O24" s="9">
        <f t="shared" si="1"/>
        <v>1.6666666666666666E-2</v>
      </c>
      <c r="P24" s="13">
        <f>IF(G38=G37,"",G38)</f>
        <v>45</v>
      </c>
      <c r="Q24" s="13">
        <f t="shared" si="3"/>
        <v>1</v>
      </c>
      <c r="R24" s="14">
        <f t="shared" si="2"/>
        <v>1.6666666666666666E-2</v>
      </c>
    </row>
    <row r="25" spans="1:18" x14ac:dyDescent="0.3">
      <c r="A25" s="5">
        <v>7.7</v>
      </c>
      <c r="G25" s="4">
        <v>37</v>
      </c>
      <c r="M25" s="7">
        <f>IF(A39=A38,"",A39)</f>
        <v>8.5</v>
      </c>
      <c r="N25" s="8">
        <f t="shared" si="0"/>
        <v>2</v>
      </c>
      <c r="O25" s="9">
        <f t="shared" si="1"/>
        <v>3.3333333333333333E-2</v>
      </c>
      <c r="P25" s="13">
        <f>IF(G39=G38,"",G39)</f>
        <v>46</v>
      </c>
      <c r="Q25" s="13">
        <f t="shared" si="3"/>
        <v>1</v>
      </c>
      <c r="R25" s="14">
        <f t="shared" si="2"/>
        <v>1.6666666666666666E-2</v>
      </c>
    </row>
    <row r="26" spans="1:18" x14ac:dyDescent="0.3">
      <c r="A26" s="5">
        <v>7.8</v>
      </c>
      <c r="G26" s="5">
        <v>40</v>
      </c>
      <c r="M26" s="7">
        <f>IF(A41=A40,"",A41)</f>
        <v>8.6</v>
      </c>
      <c r="N26" s="8">
        <f t="shared" si="0"/>
        <v>2</v>
      </c>
      <c r="O26" s="9">
        <f t="shared" si="1"/>
        <v>3.3333333333333333E-2</v>
      </c>
      <c r="P26" s="13">
        <f>IF(G40=G39,"",G40)</f>
        <v>50</v>
      </c>
      <c r="Q26" s="13">
        <f t="shared" si="3"/>
        <v>1</v>
      </c>
      <c r="R26" s="14">
        <f t="shared" si="2"/>
        <v>1.6666666666666666E-2</v>
      </c>
    </row>
    <row r="27" spans="1:18" x14ac:dyDescent="0.3">
      <c r="A27" s="4">
        <v>7.8</v>
      </c>
      <c r="G27" s="4">
        <v>40</v>
      </c>
      <c r="M27" s="7">
        <f>IF(A43=A42,"",A43)</f>
        <v>8.8000000000000007</v>
      </c>
      <c r="N27" s="8">
        <f t="shared" si="0"/>
        <v>1</v>
      </c>
      <c r="O27" s="9">
        <f t="shared" si="1"/>
        <v>1.6666666666666666E-2</v>
      </c>
      <c r="P27" s="13">
        <f>IF(G41=G40,"",G41)</f>
        <v>51</v>
      </c>
      <c r="Q27" s="13">
        <f t="shared" si="3"/>
        <v>7</v>
      </c>
      <c r="R27" s="14">
        <f t="shared" si="2"/>
        <v>0.11666666666666667</v>
      </c>
    </row>
    <row r="28" spans="1:18" x14ac:dyDescent="0.3">
      <c r="A28" s="5">
        <v>7.9</v>
      </c>
      <c r="G28" s="4">
        <v>40</v>
      </c>
      <c r="M28" s="7">
        <f>IF(A44=A43,"",A44)</f>
        <v>8.9</v>
      </c>
      <c r="N28" s="8">
        <f t="shared" si="0"/>
        <v>1</v>
      </c>
      <c r="O28" s="9">
        <f t="shared" si="1"/>
        <v>1.6666666666666666E-2</v>
      </c>
      <c r="P28" s="13">
        <f>IF(G48=G47,"",G48)</f>
        <v>52</v>
      </c>
      <c r="Q28" s="13">
        <f t="shared" si="3"/>
        <v>3</v>
      </c>
      <c r="R28" s="14">
        <f t="shared" si="2"/>
        <v>0.05</v>
      </c>
    </row>
    <row r="29" spans="1:18" x14ac:dyDescent="0.3">
      <c r="A29" s="5">
        <v>7.9</v>
      </c>
      <c r="G29" s="5">
        <v>40</v>
      </c>
      <c r="M29" s="7">
        <f>IF(A45=A44,"",A45)</f>
        <v>9</v>
      </c>
      <c r="N29" s="8">
        <f t="shared" si="0"/>
        <v>3</v>
      </c>
      <c r="O29" s="9">
        <f t="shared" si="1"/>
        <v>0.05</v>
      </c>
      <c r="P29" s="13">
        <f>IF(G51=G50,"",G51)</f>
        <v>53</v>
      </c>
      <c r="Q29" s="13">
        <f t="shared" si="3"/>
        <v>2</v>
      </c>
      <c r="R29" s="14">
        <f t="shared" si="2"/>
        <v>3.3333333333333333E-2</v>
      </c>
    </row>
    <row r="30" spans="1:18" x14ac:dyDescent="0.3">
      <c r="A30" s="5">
        <v>8</v>
      </c>
      <c r="G30" s="4">
        <v>41</v>
      </c>
      <c r="M30" s="7">
        <f>IF(A48=A47,"",A48)</f>
        <v>9.1</v>
      </c>
      <c r="N30" s="8">
        <f t="shared" si="0"/>
        <v>1</v>
      </c>
      <c r="O30" s="9">
        <f t="shared" si="1"/>
        <v>1.6666666666666666E-2</v>
      </c>
      <c r="P30" s="13">
        <f>IF(G53=G52,"",G53)</f>
        <v>54</v>
      </c>
      <c r="Q30" s="13">
        <f t="shared" si="3"/>
        <v>1</v>
      </c>
      <c r="R30" s="14">
        <f t="shared" si="2"/>
        <v>1.6666666666666666E-2</v>
      </c>
    </row>
    <row r="31" spans="1:18" x14ac:dyDescent="0.3">
      <c r="A31" s="4">
        <v>8</v>
      </c>
      <c r="G31" s="5">
        <v>42</v>
      </c>
      <c r="M31" s="7">
        <f>IF(A49=A48,"",A49)</f>
        <v>9.1999999999999993</v>
      </c>
      <c r="N31" s="8">
        <f t="shared" si="0"/>
        <v>3</v>
      </c>
      <c r="O31" s="9">
        <f t="shared" si="1"/>
        <v>0.05</v>
      </c>
      <c r="P31" s="13">
        <f>IF(G54=G53,"",G54)</f>
        <v>55</v>
      </c>
      <c r="Q31" s="13">
        <f t="shared" si="3"/>
        <v>1</v>
      </c>
      <c r="R31" s="14">
        <f t="shared" si="2"/>
        <v>1.6666666666666666E-2</v>
      </c>
    </row>
    <row r="32" spans="1:18" x14ac:dyDescent="0.3">
      <c r="A32" s="5">
        <v>8.1999999999999993</v>
      </c>
      <c r="G32" s="4">
        <v>42</v>
      </c>
      <c r="M32" s="7">
        <f>IF(A52=A51,"",A52)</f>
        <v>9.3000000000000007</v>
      </c>
      <c r="N32" s="8">
        <f t="shared" si="0"/>
        <v>1</v>
      </c>
      <c r="O32" s="9">
        <f t="shared" si="1"/>
        <v>1.6666666666666666E-2</v>
      </c>
      <c r="P32" s="13">
        <f>IF(G55=G54,"",G55)</f>
        <v>60</v>
      </c>
      <c r="Q32" s="13">
        <f t="shared" si="3"/>
        <v>3</v>
      </c>
      <c r="R32" s="14">
        <f t="shared" si="2"/>
        <v>0.05</v>
      </c>
    </row>
    <row r="33" spans="1:18" x14ac:dyDescent="0.3">
      <c r="A33" s="4">
        <v>8.1999999999999993</v>
      </c>
      <c r="G33" s="5">
        <v>42</v>
      </c>
      <c r="M33" s="7">
        <f>IF(A53=A52,"",A53)</f>
        <v>9.4</v>
      </c>
      <c r="N33" s="8">
        <f t="shared" si="0"/>
        <v>1</v>
      </c>
      <c r="O33" s="9">
        <f t="shared" si="1"/>
        <v>1.6666666666666666E-2</v>
      </c>
      <c r="P33" s="13">
        <f>IF(G58=G57,"",G58)</f>
        <v>62</v>
      </c>
      <c r="Q33" s="13">
        <f t="shared" si="3"/>
        <v>1</v>
      </c>
      <c r="R33" s="14">
        <f t="shared" si="2"/>
        <v>1.6666666666666666E-2</v>
      </c>
    </row>
    <row r="34" spans="1:18" x14ac:dyDescent="0.3">
      <c r="A34" s="5">
        <v>8.1999999999999993</v>
      </c>
      <c r="G34" s="5">
        <v>43</v>
      </c>
      <c r="M34" s="7">
        <f>IF(A54=A53,"",A54)</f>
        <v>9.5</v>
      </c>
      <c r="N34" s="8">
        <f t="shared" si="0"/>
        <v>3</v>
      </c>
      <c r="O34" s="9">
        <f t="shared" si="1"/>
        <v>0.05</v>
      </c>
      <c r="P34" s="13">
        <f>IF(G59=G58,"",G59)</f>
        <v>64</v>
      </c>
      <c r="Q34" s="13">
        <f t="shared" si="3"/>
        <v>1</v>
      </c>
      <c r="R34" s="14">
        <f t="shared" si="2"/>
        <v>1.6666666666666666E-2</v>
      </c>
    </row>
    <row r="35" spans="1:18" x14ac:dyDescent="0.3">
      <c r="A35" s="5">
        <v>8.1999999999999993</v>
      </c>
      <c r="G35" s="5">
        <v>43</v>
      </c>
      <c r="M35" s="7">
        <f>IF(A57=A56,"",A57)</f>
        <v>9.6</v>
      </c>
      <c r="N35" s="8">
        <f t="shared" si="0"/>
        <v>1</v>
      </c>
      <c r="O35" s="9">
        <f t="shared" si="1"/>
        <v>1.6666666666666666E-2</v>
      </c>
      <c r="P35" s="13">
        <f>IF(G60=G59,"",G60)</f>
        <v>68</v>
      </c>
      <c r="Q35" s="13">
        <f t="shared" si="3"/>
        <v>1</v>
      </c>
      <c r="R35" s="14">
        <f t="shared" si="2"/>
        <v>1.6666666666666666E-2</v>
      </c>
    </row>
    <row r="36" spans="1:18" x14ac:dyDescent="0.3">
      <c r="A36" s="4">
        <v>8.3000000000000007</v>
      </c>
      <c r="G36" s="5">
        <v>44</v>
      </c>
      <c r="M36" s="7">
        <f>IF(A58=A57,"",A58)</f>
        <v>9.8000000000000007</v>
      </c>
      <c r="N36" s="8">
        <f t="shared" si="0"/>
        <v>2</v>
      </c>
      <c r="O36" s="9">
        <f t="shared" si="1"/>
        <v>3.3333333333333333E-2</v>
      </c>
      <c r="P36" s="13">
        <f>IF(G61=G60,"",G61)</f>
        <v>82</v>
      </c>
      <c r="Q36" s="13">
        <f t="shared" si="3"/>
        <v>1</v>
      </c>
      <c r="R36" s="14">
        <f t="shared" si="2"/>
        <v>1.6666666666666666E-2</v>
      </c>
    </row>
    <row r="37" spans="1:18" x14ac:dyDescent="0.3">
      <c r="A37" s="5">
        <v>8.3000000000000007</v>
      </c>
      <c r="G37" s="4">
        <v>44</v>
      </c>
      <c r="M37" s="7">
        <f>IF(A60=A59,"",A60)</f>
        <v>9.9</v>
      </c>
      <c r="N37" s="8">
        <f t="shared" si="0"/>
        <v>2</v>
      </c>
      <c r="O37" s="9">
        <f t="shared" si="1"/>
        <v>3.3333333333333333E-2</v>
      </c>
      <c r="P37" s="10" t="s">
        <v>5</v>
      </c>
      <c r="Q37" s="15">
        <f>SUM(Q2:Q36)</f>
        <v>60</v>
      </c>
      <c r="R37" s="11">
        <f t="shared" si="2"/>
        <v>1</v>
      </c>
    </row>
    <row r="38" spans="1:18" x14ac:dyDescent="0.3">
      <c r="A38" s="4">
        <v>8.4</v>
      </c>
      <c r="G38" s="4">
        <v>45</v>
      </c>
      <c r="M38" s="10" t="s">
        <v>5</v>
      </c>
      <c r="N38" s="10">
        <f>SUM(N2:N37)</f>
        <v>60</v>
      </c>
      <c r="O38" s="11">
        <f t="shared" si="1"/>
        <v>1</v>
      </c>
    </row>
    <row r="39" spans="1:18" x14ac:dyDescent="0.3">
      <c r="A39" s="5">
        <v>8.5</v>
      </c>
      <c r="G39" s="5">
        <v>46</v>
      </c>
    </row>
    <row r="40" spans="1:18" x14ac:dyDescent="0.3">
      <c r="A40" s="4">
        <v>8.5</v>
      </c>
      <c r="C40" s="2" t="str">
        <f>IF(A40=A39,"",A40)</f>
        <v/>
      </c>
      <c r="G40" s="5">
        <v>50</v>
      </c>
    </row>
    <row r="41" spans="1:18" x14ac:dyDescent="0.3">
      <c r="A41" s="5">
        <v>8.6</v>
      </c>
      <c r="G41" s="4">
        <v>51</v>
      </c>
    </row>
    <row r="42" spans="1:18" x14ac:dyDescent="0.3">
      <c r="A42" s="5">
        <v>8.6</v>
      </c>
      <c r="C42" s="2" t="str">
        <f>IF(A42=A41,"",A42)</f>
        <v/>
      </c>
      <c r="G42" s="4">
        <v>51</v>
      </c>
      <c r="I42" s="2" t="str">
        <f t="shared" ref="I42:I57" si="4">IF(G42=G41,"",G42)</f>
        <v/>
      </c>
    </row>
    <row r="43" spans="1:18" x14ac:dyDescent="0.3">
      <c r="A43" s="5">
        <v>8.8000000000000007</v>
      </c>
      <c r="G43" s="4">
        <v>51</v>
      </c>
      <c r="I43" s="2" t="str">
        <f t="shared" si="4"/>
        <v/>
      </c>
    </row>
    <row r="44" spans="1:18" x14ac:dyDescent="0.3">
      <c r="A44" s="4">
        <v>8.9</v>
      </c>
      <c r="G44" s="5">
        <v>51</v>
      </c>
      <c r="I44" s="2" t="str">
        <f t="shared" si="4"/>
        <v/>
      </c>
    </row>
    <row r="45" spans="1:18" x14ac:dyDescent="0.3">
      <c r="A45" s="5">
        <v>9</v>
      </c>
      <c r="G45" s="5">
        <v>51</v>
      </c>
      <c r="I45" s="2" t="str">
        <f t="shared" si="4"/>
        <v/>
      </c>
    </row>
    <row r="46" spans="1:18" x14ac:dyDescent="0.3">
      <c r="A46" s="5">
        <v>9</v>
      </c>
      <c r="C46" s="2" t="str">
        <f>IF(A46=A45,"",A46)</f>
        <v/>
      </c>
      <c r="G46" s="5">
        <v>51</v>
      </c>
      <c r="I46" s="2" t="str">
        <f t="shared" si="4"/>
        <v/>
      </c>
    </row>
    <row r="47" spans="1:18" x14ac:dyDescent="0.3">
      <c r="A47" s="5">
        <v>9</v>
      </c>
      <c r="C47" s="2" t="str">
        <f>IF(A47=A46,"",A47)</f>
        <v/>
      </c>
      <c r="G47" s="4">
        <v>51</v>
      </c>
      <c r="I47" s="2" t="str">
        <f t="shared" si="4"/>
        <v/>
      </c>
    </row>
    <row r="48" spans="1:18" x14ac:dyDescent="0.3">
      <c r="A48" s="5">
        <v>9.1</v>
      </c>
      <c r="G48" s="5">
        <v>52</v>
      </c>
    </row>
    <row r="49" spans="1:9" x14ac:dyDescent="0.3">
      <c r="A49" s="5">
        <v>9.1999999999999993</v>
      </c>
      <c r="G49" s="5">
        <v>52</v>
      </c>
      <c r="I49" s="2" t="str">
        <f t="shared" si="4"/>
        <v/>
      </c>
    </row>
    <row r="50" spans="1:9" x14ac:dyDescent="0.3">
      <c r="A50" s="5">
        <v>9.1999999999999993</v>
      </c>
      <c r="C50" s="2" t="str">
        <f>IF(A50=A49,"",A50)</f>
        <v/>
      </c>
      <c r="G50" s="5">
        <v>52</v>
      </c>
      <c r="I50" s="2" t="str">
        <f t="shared" si="4"/>
        <v/>
      </c>
    </row>
    <row r="51" spans="1:9" x14ac:dyDescent="0.3">
      <c r="A51" s="4">
        <v>9.1999999999999993</v>
      </c>
      <c r="C51" s="2" t="str">
        <f>IF(A51=A50,"",A51)</f>
        <v/>
      </c>
      <c r="G51" s="5">
        <v>53</v>
      </c>
    </row>
    <row r="52" spans="1:9" x14ac:dyDescent="0.3">
      <c r="A52" s="4">
        <v>9.3000000000000007</v>
      </c>
      <c r="G52" s="4">
        <v>53</v>
      </c>
      <c r="I52" s="2" t="str">
        <f t="shared" si="4"/>
        <v/>
      </c>
    </row>
    <row r="53" spans="1:9" x14ac:dyDescent="0.3">
      <c r="A53" s="4">
        <v>9.4</v>
      </c>
      <c r="G53" s="5">
        <v>54</v>
      </c>
    </row>
    <row r="54" spans="1:9" x14ac:dyDescent="0.3">
      <c r="A54" s="4">
        <v>9.5</v>
      </c>
      <c r="G54" s="4">
        <v>55</v>
      </c>
    </row>
    <row r="55" spans="1:9" x14ac:dyDescent="0.3">
      <c r="A55" s="5">
        <v>9.5</v>
      </c>
      <c r="C55" s="2" t="str">
        <f>IF(A55=A54,"",A55)</f>
        <v/>
      </c>
      <c r="G55" s="5">
        <v>60</v>
      </c>
    </row>
    <row r="56" spans="1:9" x14ac:dyDescent="0.3">
      <c r="A56" s="5">
        <v>9.5</v>
      </c>
      <c r="C56" s="2" t="str">
        <f>IF(A56=A55,"",A56)</f>
        <v/>
      </c>
      <c r="G56" s="4">
        <v>60</v>
      </c>
      <c r="I56" s="2" t="str">
        <f t="shared" si="4"/>
        <v/>
      </c>
    </row>
    <row r="57" spans="1:9" x14ac:dyDescent="0.3">
      <c r="A57" s="5">
        <v>9.6</v>
      </c>
      <c r="G57" s="4">
        <v>60</v>
      </c>
      <c r="I57" s="2" t="str">
        <f t="shared" si="4"/>
        <v/>
      </c>
    </row>
    <row r="58" spans="1:9" x14ac:dyDescent="0.3">
      <c r="A58" s="5">
        <v>9.8000000000000007</v>
      </c>
      <c r="G58" s="5">
        <v>62</v>
      </c>
    </row>
    <row r="59" spans="1:9" x14ac:dyDescent="0.3">
      <c r="A59" s="5">
        <v>9.8000000000000007</v>
      </c>
      <c r="C59" s="2" t="str">
        <f>IF(A59=A58,"",A59)</f>
        <v/>
      </c>
      <c r="G59" s="4">
        <v>64</v>
      </c>
    </row>
    <row r="60" spans="1:9" x14ac:dyDescent="0.3">
      <c r="A60" s="4">
        <v>9.9</v>
      </c>
      <c r="G60" s="5">
        <v>68</v>
      </c>
    </row>
    <row r="61" spans="1:9" x14ac:dyDescent="0.3">
      <c r="A61" s="4">
        <v>9.9</v>
      </c>
      <c r="C61" s="2" t="str">
        <f>IF(A61=A60,"",A61)</f>
        <v/>
      </c>
      <c r="G61" s="4">
        <v>82</v>
      </c>
    </row>
  </sheetData>
  <sortState xmlns:xlrd2="http://schemas.microsoft.com/office/spreadsheetml/2017/richdata2" ref="C3:C60">
    <sortCondition descending="1" ref="C2:C60"/>
  </sortState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3C69-34E8-4651-96D0-E0FD1D78BE5D}">
  <dimension ref="A2:D61"/>
  <sheetViews>
    <sheetView workbookViewId="0">
      <selection activeCell="D4" sqref="D4"/>
    </sheetView>
  </sheetViews>
  <sheetFormatPr defaultRowHeight="14.4" x14ac:dyDescent="0.3"/>
  <cols>
    <col min="1" max="2" width="8.88671875" style="18"/>
  </cols>
  <sheetData>
    <row r="2" spans="1:4" x14ac:dyDescent="0.3">
      <c r="A2" s="18">
        <v>8.3000000000000007</v>
      </c>
      <c r="B2" s="18">
        <v>37</v>
      </c>
      <c r="D2">
        <f>CORREL(A2:A61,B2:B61)</f>
        <v>0.49699651004873413</v>
      </c>
    </row>
    <row r="3" spans="1:4" x14ac:dyDescent="0.3">
      <c r="A3" s="18">
        <v>9.8000000000000007</v>
      </c>
      <c r="B3" s="18">
        <v>68</v>
      </c>
    </row>
    <row r="4" spans="1:4" x14ac:dyDescent="0.3">
      <c r="A4" s="18">
        <v>6.2</v>
      </c>
      <c r="B4" s="18">
        <v>23</v>
      </c>
    </row>
    <row r="5" spans="1:4" x14ac:dyDescent="0.3">
      <c r="A5" s="18">
        <v>8.1999999999999993</v>
      </c>
      <c r="B5" s="18">
        <v>44</v>
      </c>
    </row>
    <row r="6" spans="1:4" x14ac:dyDescent="0.3">
      <c r="A6" s="18">
        <v>8.4</v>
      </c>
      <c r="B6" s="18">
        <v>35</v>
      </c>
    </row>
    <row r="7" spans="1:4" x14ac:dyDescent="0.3">
      <c r="A7" s="18">
        <v>9.1999999999999993</v>
      </c>
      <c r="B7" s="18">
        <v>33</v>
      </c>
    </row>
    <row r="8" spans="1:4" x14ac:dyDescent="0.3">
      <c r="A8" s="18">
        <v>5.7</v>
      </c>
      <c r="B8" s="18">
        <v>23</v>
      </c>
    </row>
    <row r="9" spans="1:4" x14ac:dyDescent="0.3">
      <c r="A9" s="18">
        <v>9</v>
      </c>
      <c r="B9" s="18">
        <v>42</v>
      </c>
    </row>
    <row r="10" spans="1:4" x14ac:dyDescent="0.3">
      <c r="A10" s="18">
        <v>8.1999999999999993</v>
      </c>
      <c r="B10" s="18">
        <v>45</v>
      </c>
    </row>
    <row r="11" spans="1:4" x14ac:dyDescent="0.3">
      <c r="A11" s="18">
        <v>6.9</v>
      </c>
      <c r="B11" s="18">
        <v>60</v>
      </c>
    </row>
    <row r="12" spans="1:4" x14ac:dyDescent="0.3">
      <c r="A12" s="18">
        <v>8.9</v>
      </c>
      <c r="B12" s="18">
        <v>51</v>
      </c>
    </row>
    <row r="13" spans="1:4" x14ac:dyDescent="0.3">
      <c r="A13" s="18">
        <v>8.6</v>
      </c>
      <c r="B13" s="18">
        <v>43</v>
      </c>
    </row>
    <row r="14" spans="1:4" x14ac:dyDescent="0.3">
      <c r="A14" s="18">
        <v>7.1</v>
      </c>
      <c r="B14" s="18">
        <v>51</v>
      </c>
    </row>
    <row r="15" spans="1:4" x14ac:dyDescent="0.3">
      <c r="A15" s="18">
        <v>9.1</v>
      </c>
      <c r="B15" s="18">
        <v>53</v>
      </c>
    </row>
    <row r="16" spans="1:4" x14ac:dyDescent="0.3">
      <c r="A16" s="18">
        <v>9.3000000000000007</v>
      </c>
      <c r="B16" s="18">
        <v>60</v>
      </c>
    </row>
    <row r="17" spans="1:2" x14ac:dyDescent="0.3">
      <c r="A17" s="18">
        <v>9.8000000000000007</v>
      </c>
      <c r="B17" s="18">
        <v>54</v>
      </c>
    </row>
    <row r="18" spans="1:2" x14ac:dyDescent="0.3">
      <c r="A18" s="18">
        <v>6.9</v>
      </c>
      <c r="B18" s="18">
        <v>51</v>
      </c>
    </row>
    <row r="19" spans="1:2" x14ac:dyDescent="0.3">
      <c r="A19" s="18">
        <v>8.5</v>
      </c>
      <c r="B19" s="18">
        <v>52</v>
      </c>
    </row>
    <row r="20" spans="1:2" x14ac:dyDescent="0.3">
      <c r="A20" s="18">
        <v>7.5</v>
      </c>
      <c r="B20" s="18">
        <v>33</v>
      </c>
    </row>
    <row r="21" spans="1:2" x14ac:dyDescent="0.3">
      <c r="A21" s="18">
        <v>8.8000000000000007</v>
      </c>
      <c r="B21" s="18">
        <v>31</v>
      </c>
    </row>
    <row r="22" spans="1:2" x14ac:dyDescent="0.3">
      <c r="A22" s="18">
        <v>9.9</v>
      </c>
      <c r="B22" s="18">
        <v>60</v>
      </c>
    </row>
    <row r="23" spans="1:2" x14ac:dyDescent="0.3">
      <c r="A23" s="18">
        <v>7.7</v>
      </c>
      <c r="B23" s="18">
        <v>40</v>
      </c>
    </row>
    <row r="24" spans="1:2" x14ac:dyDescent="0.3">
      <c r="A24" s="18">
        <v>9.5</v>
      </c>
      <c r="B24" s="18">
        <v>40</v>
      </c>
    </row>
    <row r="25" spans="1:2" x14ac:dyDescent="0.3">
      <c r="A25" s="18">
        <v>7.9</v>
      </c>
      <c r="B25" s="18">
        <v>30</v>
      </c>
    </row>
    <row r="26" spans="1:2" x14ac:dyDescent="0.3">
      <c r="A26" s="18">
        <v>5.8</v>
      </c>
      <c r="B26" s="18">
        <v>19</v>
      </c>
    </row>
    <row r="27" spans="1:2" x14ac:dyDescent="0.3">
      <c r="A27" s="18">
        <v>7.2</v>
      </c>
      <c r="B27" s="18">
        <v>35</v>
      </c>
    </row>
    <row r="28" spans="1:2" x14ac:dyDescent="0.3">
      <c r="A28" s="18">
        <v>7.6</v>
      </c>
      <c r="B28" s="18">
        <v>40</v>
      </c>
    </row>
    <row r="29" spans="1:2" x14ac:dyDescent="0.3">
      <c r="A29" s="18">
        <v>9.1999999999999993</v>
      </c>
      <c r="B29" s="18">
        <v>51</v>
      </c>
    </row>
    <row r="30" spans="1:2" x14ac:dyDescent="0.3">
      <c r="A30" s="18">
        <v>5.5</v>
      </c>
      <c r="B30" s="18">
        <v>16</v>
      </c>
    </row>
    <row r="31" spans="1:2" x14ac:dyDescent="0.3">
      <c r="A31" s="18">
        <v>9</v>
      </c>
      <c r="B31" s="18">
        <v>51</v>
      </c>
    </row>
    <row r="32" spans="1:2" x14ac:dyDescent="0.3">
      <c r="A32" s="18">
        <v>9.9</v>
      </c>
      <c r="B32" s="18">
        <v>64</v>
      </c>
    </row>
    <row r="33" spans="1:2" x14ac:dyDescent="0.3">
      <c r="A33" s="18">
        <v>5.9</v>
      </c>
      <c r="B33" s="18">
        <v>30</v>
      </c>
    </row>
    <row r="34" spans="1:2" x14ac:dyDescent="0.3">
      <c r="A34" s="18">
        <v>5.6</v>
      </c>
      <c r="B34" s="18">
        <v>82</v>
      </c>
    </row>
    <row r="35" spans="1:2" x14ac:dyDescent="0.3">
      <c r="A35" s="18">
        <v>9.5</v>
      </c>
      <c r="B35" s="18">
        <v>52</v>
      </c>
    </row>
    <row r="36" spans="1:2" x14ac:dyDescent="0.3">
      <c r="A36" s="18">
        <v>6.3</v>
      </c>
      <c r="B36" s="18">
        <v>28</v>
      </c>
    </row>
    <row r="37" spans="1:2" x14ac:dyDescent="0.3">
      <c r="A37" s="18">
        <v>8</v>
      </c>
      <c r="B37" s="18">
        <v>46</v>
      </c>
    </row>
    <row r="38" spans="1:2" x14ac:dyDescent="0.3">
      <c r="A38" s="18">
        <v>6.1</v>
      </c>
      <c r="B38" s="18">
        <v>34</v>
      </c>
    </row>
    <row r="39" spans="1:2" x14ac:dyDescent="0.3">
      <c r="A39" s="18">
        <v>8.3000000000000007</v>
      </c>
      <c r="B39" s="18">
        <v>43</v>
      </c>
    </row>
    <row r="40" spans="1:2" x14ac:dyDescent="0.3">
      <c r="A40" s="18">
        <v>8.5</v>
      </c>
      <c r="B40" s="18">
        <v>44</v>
      </c>
    </row>
    <row r="41" spans="1:2" x14ac:dyDescent="0.3">
      <c r="A41" s="18">
        <v>9.6</v>
      </c>
      <c r="B41" s="18">
        <v>26</v>
      </c>
    </row>
    <row r="42" spans="1:2" x14ac:dyDescent="0.3">
      <c r="A42" s="18">
        <v>5.8</v>
      </c>
      <c r="B42" s="18">
        <v>41</v>
      </c>
    </row>
    <row r="43" spans="1:2" x14ac:dyDescent="0.3">
      <c r="A43" s="18">
        <v>8.1999999999999993</v>
      </c>
      <c r="B43" s="18">
        <v>51</v>
      </c>
    </row>
    <row r="44" spans="1:2" x14ac:dyDescent="0.3">
      <c r="A44" s="18">
        <v>7.3</v>
      </c>
      <c r="B44" s="18">
        <v>51</v>
      </c>
    </row>
    <row r="45" spans="1:2" x14ac:dyDescent="0.3">
      <c r="A45" s="18">
        <v>7.6</v>
      </c>
      <c r="B45" s="18">
        <v>31</v>
      </c>
    </row>
    <row r="46" spans="1:2" x14ac:dyDescent="0.3">
      <c r="A46" s="18">
        <v>8</v>
      </c>
      <c r="B46" s="18">
        <v>42</v>
      </c>
    </row>
    <row r="47" spans="1:2" x14ac:dyDescent="0.3">
      <c r="A47" s="18">
        <v>9</v>
      </c>
      <c r="B47" s="18">
        <v>42</v>
      </c>
    </row>
    <row r="48" spans="1:2" x14ac:dyDescent="0.3">
      <c r="A48" s="18">
        <v>7</v>
      </c>
      <c r="B48" s="18">
        <v>22</v>
      </c>
    </row>
    <row r="49" spans="1:2" x14ac:dyDescent="0.3">
      <c r="A49" s="18">
        <v>7.8</v>
      </c>
      <c r="B49" s="18">
        <v>40</v>
      </c>
    </row>
    <row r="50" spans="1:2" x14ac:dyDescent="0.3">
      <c r="A50" s="18">
        <v>5.8</v>
      </c>
      <c r="B50" s="18">
        <v>29</v>
      </c>
    </row>
    <row r="51" spans="1:2" x14ac:dyDescent="0.3">
      <c r="A51" s="18">
        <v>8.1999999999999993</v>
      </c>
      <c r="B51" s="18">
        <v>24</v>
      </c>
    </row>
    <row r="52" spans="1:2" x14ac:dyDescent="0.3">
      <c r="A52" s="18">
        <v>7.1</v>
      </c>
      <c r="B52" s="18">
        <v>33</v>
      </c>
    </row>
    <row r="53" spans="1:2" x14ac:dyDescent="0.3">
      <c r="A53" s="18">
        <v>7.9</v>
      </c>
      <c r="B53" s="18">
        <v>50</v>
      </c>
    </row>
    <row r="54" spans="1:2" x14ac:dyDescent="0.3">
      <c r="A54" s="18">
        <v>7.8</v>
      </c>
      <c r="B54" s="18">
        <v>18</v>
      </c>
    </row>
    <row r="55" spans="1:2" x14ac:dyDescent="0.3">
      <c r="A55" s="18">
        <v>7.2</v>
      </c>
      <c r="B55" s="18">
        <v>18</v>
      </c>
    </row>
    <row r="56" spans="1:2" x14ac:dyDescent="0.3">
      <c r="A56" s="18">
        <v>9.1999999999999993</v>
      </c>
      <c r="B56" s="18">
        <v>55</v>
      </c>
    </row>
    <row r="57" spans="1:2" x14ac:dyDescent="0.3">
      <c r="A57" s="18">
        <v>6.1</v>
      </c>
      <c r="B57" s="18">
        <v>21</v>
      </c>
    </row>
    <row r="58" spans="1:2" x14ac:dyDescent="0.3">
      <c r="A58" s="18">
        <v>9.4</v>
      </c>
      <c r="B58" s="18">
        <v>53</v>
      </c>
    </row>
    <row r="59" spans="1:2" x14ac:dyDescent="0.3">
      <c r="A59" s="18">
        <v>8.6</v>
      </c>
      <c r="B59" s="18">
        <v>52</v>
      </c>
    </row>
    <row r="60" spans="1:2" x14ac:dyDescent="0.3">
      <c r="A60" s="18">
        <v>6</v>
      </c>
      <c r="B60" s="18">
        <v>20</v>
      </c>
    </row>
    <row r="61" spans="1:2" x14ac:dyDescent="0.3">
      <c r="A61" s="18">
        <v>9.5</v>
      </c>
      <c r="B61" s="18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102A-B4C1-4C48-96F6-E0F5D84CAB52}">
  <dimension ref="A1:O22"/>
  <sheetViews>
    <sheetView workbookViewId="0">
      <selection activeCell="H2" sqref="H2"/>
    </sheetView>
  </sheetViews>
  <sheetFormatPr defaultRowHeight="14.4" x14ac:dyDescent="0.3"/>
  <cols>
    <col min="1" max="1" width="16" style="24" customWidth="1"/>
    <col min="2" max="2" width="21.33203125" style="24" customWidth="1"/>
    <col min="3" max="4" width="15.109375" style="24" bestFit="1" customWidth="1"/>
    <col min="5" max="5" width="12.109375" style="24" customWidth="1"/>
    <col min="6" max="7" width="8.88671875" style="24"/>
    <col min="8" max="8" width="16" style="24" customWidth="1"/>
    <col min="9" max="9" width="21.33203125" style="24" customWidth="1"/>
    <col min="10" max="11" width="15.109375" style="24" bestFit="1" customWidth="1"/>
    <col min="12" max="12" width="12.109375" style="24" customWidth="1"/>
    <col min="13" max="16384" width="8.88671875" style="24"/>
  </cols>
  <sheetData>
    <row r="1" spans="1:15" ht="36.6" thickBot="1" x14ac:dyDescent="0.35">
      <c r="A1" s="26" t="s">
        <v>0</v>
      </c>
      <c r="B1" s="27"/>
      <c r="C1" s="21" t="s">
        <v>13</v>
      </c>
      <c r="D1" s="21" t="s">
        <v>14</v>
      </c>
      <c r="E1" s="21" t="s">
        <v>15</v>
      </c>
      <c r="F1" s="21" t="s">
        <v>16</v>
      </c>
    </row>
    <row r="2" spans="1:15" ht="18.600000000000001" thickBot="1" x14ac:dyDescent="0.35">
      <c r="A2" s="25">
        <v>16</v>
      </c>
      <c r="B2" s="25">
        <f>A2+$O$3</f>
        <v>29.2</v>
      </c>
      <c r="C2" s="29">
        <v>13</v>
      </c>
      <c r="D2" s="23">
        <f>C2/$N$2</f>
        <v>0.21666666666666667</v>
      </c>
      <c r="E2" s="23">
        <f>D2/$N$3</f>
        <v>0.24621212121212122</v>
      </c>
      <c r="F2" s="25">
        <f>(A2+B2)/2</f>
        <v>22.6</v>
      </c>
      <c r="N2" s="24">
        <f>SUM(C2:C6)</f>
        <v>60</v>
      </c>
    </row>
    <row r="3" spans="1:15" ht="18.600000000000001" thickBot="1" x14ac:dyDescent="0.35">
      <c r="A3" s="22">
        <f>B2</f>
        <v>29.2</v>
      </c>
      <c r="B3" s="25">
        <f t="shared" ref="B3:B6" si="0">A3+$O$3</f>
        <v>42.4</v>
      </c>
      <c r="C3" s="30">
        <v>19</v>
      </c>
      <c r="D3" s="23">
        <f>C3/$N$2</f>
        <v>0.31666666666666665</v>
      </c>
      <c r="E3" s="23">
        <f>D3/$N$3</f>
        <v>0.35984848484848481</v>
      </c>
      <c r="F3" s="25">
        <f t="shared" ref="F3:F6" si="1">(A3+B3)/2</f>
        <v>35.799999999999997</v>
      </c>
      <c r="N3" s="24">
        <v>0.88</v>
      </c>
      <c r="O3" s="24">
        <v>13.2</v>
      </c>
    </row>
    <row r="4" spans="1:15" ht="18.600000000000001" thickBot="1" x14ac:dyDescent="0.35">
      <c r="A4" s="22">
        <f t="shared" ref="A4:A6" si="2">B3</f>
        <v>42.4</v>
      </c>
      <c r="B4" s="25">
        <f t="shared" si="0"/>
        <v>55.599999999999994</v>
      </c>
      <c r="C4" s="30">
        <v>21</v>
      </c>
      <c r="D4" s="23">
        <f>C4/$N$2</f>
        <v>0.35</v>
      </c>
      <c r="E4" s="23">
        <f>D4/$N$3</f>
        <v>0.39772727272727271</v>
      </c>
      <c r="F4" s="25">
        <f t="shared" si="1"/>
        <v>49</v>
      </c>
    </row>
    <row r="5" spans="1:15" ht="18.600000000000001" thickBot="1" x14ac:dyDescent="0.4">
      <c r="A5" s="22">
        <f t="shared" si="2"/>
        <v>55.599999999999994</v>
      </c>
      <c r="B5" s="25">
        <f t="shared" si="0"/>
        <v>68.8</v>
      </c>
      <c r="C5" s="30">
        <v>6</v>
      </c>
      <c r="D5" s="23">
        <f>C5/$N$2</f>
        <v>0.1</v>
      </c>
      <c r="E5" s="23">
        <f>D5/$N$3</f>
        <v>0.11363636363636365</v>
      </c>
      <c r="F5" s="25">
        <f t="shared" si="1"/>
        <v>62.199999999999996</v>
      </c>
      <c r="N5" s="28">
        <v>0.63700000000000001</v>
      </c>
      <c r="O5" s="28">
        <v>9.56</v>
      </c>
    </row>
    <row r="6" spans="1:15" ht="18.600000000000001" thickBot="1" x14ac:dyDescent="0.35">
      <c r="A6" s="22">
        <f t="shared" si="2"/>
        <v>68.8</v>
      </c>
      <c r="B6" s="25">
        <f t="shared" si="0"/>
        <v>82</v>
      </c>
      <c r="C6" s="30">
        <v>1</v>
      </c>
      <c r="D6" s="23">
        <f>C6/$N$2</f>
        <v>1.6666666666666666E-2</v>
      </c>
      <c r="E6" s="23">
        <f>D6/$N$3</f>
        <v>1.893939393939394E-2</v>
      </c>
      <c r="F6" s="25">
        <f t="shared" si="1"/>
        <v>75.400000000000006</v>
      </c>
    </row>
    <row r="7" spans="1:15" x14ac:dyDescent="0.3">
      <c r="C7" s="24">
        <f>SUM(C2:C6)</f>
        <v>60</v>
      </c>
      <c r="D7" s="24">
        <f t="shared" ref="D7:E7" si="3">SUM(D2:D6)</f>
        <v>1</v>
      </c>
      <c r="E7" s="24">
        <f t="shared" si="3"/>
        <v>1.1363636363636362</v>
      </c>
    </row>
    <row r="13" spans="1:15" ht="15" thickBot="1" x14ac:dyDescent="0.35"/>
    <row r="14" spans="1:15" ht="36.6" thickBot="1" x14ac:dyDescent="0.35">
      <c r="A14" s="26" t="s">
        <v>0</v>
      </c>
      <c r="B14" s="27"/>
      <c r="C14" s="21" t="s">
        <v>13</v>
      </c>
      <c r="D14" s="21" t="s">
        <v>14</v>
      </c>
      <c r="E14" s="21" t="s">
        <v>15</v>
      </c>
      <c r="F14" s="21" t="s">
        <v>16</v>
      </c>
      <c r="H14" s="26" t="s">
        <v>0</v>
      </c>
      <c r="I14" s="27"/>
      <c r="J14" s="21" t="s">
        <v>13</v>
      </c>
      <c r="K14" s="21" t="s">
        <v>14</v>
      </c>
      <c r="L14" s="21" t="s">
        <v>15</v>
      </c>
      <c r="M14" s="21" t="s">
        <v>16</v>
      </c>
    </row>
    <row r="15" spans="1:15" ht="18.600000000000001" thickBot="1" x14ac:dyDescent="0.35">
      <c r="A15" s="25">
        <v>5.1856999999999998</v>
      </c>
      <c r="B15" s="25">
        <f>A15+$N$5</f>
        <v>5.8226999999999993</v>
      </c>
      <c r="C15" s="25">
        <v>6</v>
      </c>
      <c r="D15" s="23">
        <f>C15/$N$2</f>
        <v>0.1</v>
      </c>
      <c r="E15" s="23">
        <f>D15/$N$5</f>
        <v>0.15698587127158556</v>
      </c>
      <c r="F15" s="25">
        <f>(A15+B15)/2</f>
        <v>5.5041999999999991</v>
      </c>
      <c r="H15" s="25">
        <v>11.2857</v>
      </c>
      <c r="I15" s="25">
        <f>H15+$O$5</f>
        <v>20.845700000000001</v>
      </c>
      <c r="J15" s="25">
        <v>5</v>
      </c>
      <c r="K15" s="23">
        <f>J15/$N$2</f>
        <v>8.3333333333333329E-2</v>
      </c>
      <c r="L15" s="23">
        <f>K15/$O$5</f>
        <v>8.7168758716875856E-3</v>
      </c>
      <c r="M15" s="25">
        <f>(H15+I15)/2</f>
        <v>16.0657</v>
      </c>
    </row>
    <row r="16" spans="1:15" ht="18.600000000000001" thickBot="1" x14ac:dyDescent="0.35">
      <c r="A16" s="22">
        <f>B15</f>
        <v>5.8226999999999993</v>
      </c>
      <c r="B16" s="25">
        <f t="shared" ref="B16:B22" si="4">A16+$N$5</f>
        <v>6.4596999999999998</v>
      </c>
      <c r="C16" s="22">
        <v>6</v>
      </c>
      <c r="D16" s="23">
        <f>C16/$N$2</f>
        <v>0.1</v>
      </c>
      <c r="E16" s="23">
        <f t="shared" ref="E16:E22" si="5">D16/$N$5</f>
        <v>0.15698587127158556</v>
      </c>
      <c r="F16" s="25">
        <f t="shared" ref="F16:F22" si="6">(A16+B16)/2</f>
        <v>6.1411999999999995</v>
      </c>
      <c r="H16" s="22">
        <f>I15</f>
        <v>20.845700000000001</v>
      </c>
      <c r="I16" s="25">
        <f t="shared" ref="I16:I22" si="7">H16+$O$5</f>
        <v>30.405700000000003</v>
      </c>
      <c r="J16" s="22">
        <v>10</v>
      </c>
      <c r="K16" s="23">
        <f>J16/$N$2</f>
        <v>0.16666666666666666</v>
      </c>
      <c r="L16" s="23">
        <f t="shared" ref="L16:L22" si="8">K16/$O$5</f>
        <v>1.7433751743375171E-2</v>
      </c>
      <c r="M16" s="25">
        <f t="shared" ref="M16:M22" si="9">(H16+I16)/2</f>
        <v>25.625700000000002</v>
      </c>
    </row>
    <row r="17" spans="1:13" ht="18.600000000000001" thickBot="1" x14ac:dyDescent="0.35">
      <c r="A17" s="22">
        <f t="shared" ref="A17:A22" si="10">B16</f>
        <v>6.4596999999999998</v>
      </c>
      <c r="B17" s="25">
        <f t="shared" si="4"/>
        <v>7.0967000000000002</v>
      </c>
      <c r="C17" s="22">
        <v>3</v>
      </c>
      <c r="D17" s="23">
        <f>C17/$N$2</f>
        <v>0.05</v>
      </c>
      <c r="E17" s="23">
        <f t="shared" si="5"/>
        <v>7.8492935635792779E-2</v>
      </c>
      <c r="F17" s="25">
        <f t="shared" si="6"/>
        <v>6.7782</v>
      </c>
      <c r="H17" s="22">
        <f t="shared" ref="H17:H22" si="11">I16</f>
        <v>30.405700000000003</v>
      </c>
      <c r="I17" s="25">
        <f t="shared" si="7"/>
        <v>39.965700000000005</v>
      </c>
      <c r="J17" s="22">
        <v>9</v>
      </c>
      <c r="K17" s="23">
        <f>J17/$N$2</f>
        <v>0.15</v>
      </c>
      <c r="L17" s="23">
        <f t="shared" si="8"/>
        <v>1.5690376569037656E-2</v>
      </c>
      <c r="M17" s="25">
        <f t="shared" si="9"/>
        <v>35.185700000000004</v>
      </c>
    </row>
    <row r="18" spans="1:13" ht="18.600000000000001" thickBot="1" x14ac:dyDescent="0.35">
      <c r="A18" s="22">
        <f t="shared" si="10"/>
        <v>7.0967000000000002</v>
      </c>
      <c r="B18" s="25">
        <f t="shared" si="4"/>
        <v>7.7337000000000007</v>
      </c>
      <c r="C18" s="22">
        <v>9</v>
      </c>
      <c r="D18" s="23">
        <f>C18/$N$2</f>
        <v>0.15</v>
      </c>
      <c r="E18" s="23">
        <f t="shared" si="5"/>
        <v>0.23547880690737832</v>
      </c>
      <c r="F18" s="25">
        <f t="shared" si="6"/>
        <v>7.4152000000000005</v>
      </c>
      <c r="H18" s="22">
        <f t="shared" si="11"/>
        <v>39.965700000000005</v>
      </c>
      <c r="I18" s="25">
        <f t="shared" si="7"/>
        <v>49.525700000000008</v>
      </c>
      <c r="J18" s="22">
        <v>14</v>
      </c>
      <c r="K18" s="23">
        <f>J18/$N$2</f>
        <v>0.23333333333333334</v>
      </c>
      <c r="L18" s="23">
        <f t="shared" si="8"/>
        <v>2.4407252440725242E-2</v>
      </c>
      <c r="M18" s="25">
        <f t="shared" si="9"/>
        <v>44.745700000000006</v>
      </c>
    </row>
    <row r="19" spans="1:13" ht="18.600000000000001" thickBot="1" x14ac:dyDescent="0.35">
      <c r="A19" s="22">
        <f t="shared" si="10"/>
        <v>7.7337000000000007</v>
      </c>
      <c r="B19" s="25">
        <f t="shared" si="4"/>
        <v>8.3707000000000011</v>
      </c>
      <c r="C19" s="22">
        <v>12</v>
      </c>
      <c r="D19" s="23">
        <f>C19/$N$2</f>
        <v>0.2</v>
      </c>
      <c r="E19" s="23">
        <f t="shared" si="5"/>
        <v>0.31397174254317112</v>
      </c>
      <c r="F19" s="25">
        <f t="shared" si="6"/>
        <v>8.0522000000000009</v>
      </c>
      <c r="H19" s="22">
        <f t="shared" si="11"/>
        <v>49.525700000000008</v>
      </c>
      <c r="I19" s="25">
        <f t="shared" si="7"/>
        <v>59.08570000000001</v>
      </c>
      <c r="J19" s="22">
        <v>15</v>
      </c>
      <c r="K19" s="23">
        <f>J19/$N$2</f>
        <v>0.25</v>
      </c>
      <c r="L19" s="23">
        <f t="shared" si="8"/>
        <v>2.615062761506276E-2</v>
      </c>
      <c r="M19" s="25">
        <f t="shared" si="9"/>
        <v>54.305700000000009</v>
      </c>
    </row>
    <row r="20" spans="1:13" ht="18.600000000000001" thickBot="1" x14ac:dyDescent="0.35">
      <c r="A20" s="22">
        <f t="shared" si="10"/>
        <v>8.3707000000000011</v>
      </c>
      <c r="B20" s="25">
        <f t="shared" si="4"/>
        <v>9.0077000000000016</v>
      </c>
      <c r="C20" s="22">
        <v>10</v>
      </c>
      <c r="D20" s="23">
        <f t="shared" ref="D20:D22" si="12">C20/$N$2</f>
        <v>0.16666666666666666</v>
      </c>
      <c r="E20" s="23">
        <f t="shared" si="5"/>
        <v>0.2616431187859759</v>
      </c>
      <c r="F20" s="25">
        <f t="shared" si="6"/>
        <v>8.6892000000000014</v>
      </c>
      <c r="H20" s="22">
        <f t="shared" si="11"/>
        <v>59.08570000000001</v>
      </c>
      <c r="I20" s="25">
        <f t="shared" si="7"/>
        <v>68.645700000000005</v>
      </c>
      <c r="J20" s="22">
        <v>6</v>
      </c>
      <c r="K20" s="23">
        <f t="shared" ref="K20:K22" si="13">J20/$N$2</f>
        <v>0.1</v>
      </c>
      <c r="L20" s="23">
        <f t="shared" si="8"/>
        <v>1.0460251046025104E-2</v>
      </c>
      <c r="M20" s="25">
        <f t="shared" si="9"/>
        <v>63.865700000000004</v>
      </c>
    </row>
    <row r="21" spans="1:13" ht="18.600000000000001" thickBot="1" x14ac:dyDescent="0.35">
      <c r="A21" s="22">
        <f t="shared" si="10"/>
        <v>9.0077000000000016</v>
      </c>
      <c r="B21" s="25">
        <f t="shared" si="4"/>
        <v>9.644700000000002</v>
      </c>
      <c r="C21" s="22">
        <v>10</v>
      </c>
      <c r="D21" s="23">
        <f t="shared" si="12"/>
        <v>0.16666666666666666</v>
      </c>
      <c r="E21" s="23">
        <f t="shared" si="5"/>
        <v>0.2616431187859759</v>
      </c>
      <c r="F21" s="25">
        <f t="shared" si="6"/>
        <v>9.3262000000000018</v>
      </c>
      <c r="H21" s="22">
        <f t="shared" si="11"/>
        <v>68.645700000000005</v>
      </c>
      <c r="I21" s="25">
        <f t="shared" si="7"/>
        <v>78.205700000000007</v>
      </c>
      <c r="J21" s="22">
        <v>0</v>
      </c>
      <c r="K21" s="23">
        <f t="shared" si="13"/>
        <v>0</v>
      </c>
      <c r="L21" s="23">
        <f t="shared" si="8"/>
        <v>0</v>
      </c>
      <c r="M21" s="25">
        <f t="shared" si="9"/>
        <v>73.425700000000006</v>
      </c>
    </row>
    <row r="22" spans="1:13" ht="18.600000000000001" thickBot="1" x14ac:dyDescent="0.35">
      <c r="A22" s="22">
        <f t="shared" si="10"/>
        <v>9.644700000000002</v>
      </c>
      <c r="B22" s="25">
        <f t="shared" si="4"/>
        <v>10.281700000000003</v>
      </c>
      <c r="C22" s="22">
        <v>4</v>
      </c>
      <c r="D22" s="23">
        <f t="shared" si="12"/>
        <v>6.6666666666666666E-2</v>
      </c>
      <c r="E22" s="23">
        <f t="shared" si="5"/>
        <v>0.10465724751439037</v>
      </c>
      <c r="F22" s="25">
        <f t="shared" si="6"/>
        <v>9.9632000000000023</v>
      </c>
      <c r="H22" s="22">
        <f t="shared" si="11"/>
        <v>78.205700000000007</v>
      </c>
      <c r="I22" s="25">
        <f t="shared" si="7"/>
        <v>87.76570000000001</v>
      </c>
      <c r="J22" s="22">
        <v>1</v>
      </c>
      <c r="K22" s="23">
        <f t="shared" si="13"/>
        <v>1.6666666666666666E-2</v>
      </c>
      <c r="L22" s="23">
        <f t="shared" si="8"/>
        <v>1.7433751743375172E-3</v>
      </c>
      <c r="M22" s="25">
        <f t="shared" si="9"/>
        <v>82.985700000000008</v>
      </c>
    </row>
  </sheetData>
  <mergeCells count="3">
    <mergeCell ref="A1:B1"/>
    <mergeCell ref="A14:B14"/>
    <mergeCell ref="H14:I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6FE8-435A-4CB6-85E1-E1659673A08F}">
  <dimension ref="A1:Z9"/>
  <sheetViews>
    <sheetView tabSelected="1" zoomScale="70" zoomScaleNormal="70" workbookViewId="0">
      <selection activeCell="Z4" sqref="Z4"/>
    </sheetView>
  </sheetViews>
  <sheetFormatPr defaultRowHeight="14.4" x14ac:dyDescent="0.3"/>
  <cols>
    <col min="13" max="13" width="10.44140625" bestFit="1" customWidth="1"/>
    <col min="14" max="14" width="4" bestFit="1" customWidth="1"/>
    <col min="15" max="15" width="14.5546875" bestFit="1" customWidth="1"/>
    <col min="16" max="16" width="11.6640625" bestFit="1" customWidth="1"/>
    <col min="19" max="19" width="13.77734375" customWidth="1"/>
    <col min="20" max="20" width="4" bestFit="1" customWidth="1"/>
    <col min="21" max="21" width="14.5546875" bestFit="1" customWidth="1"/>
    <col min="22" max="22" width="11.6640625" bestFit="1" customWidth="1"/>
  </cols>
  <sheetData>
    <row r="1" spans="1:26" ht="36.6" thickBot="1" x14ac:dyDescent="0.35">
      <c r="A1" s="20" t="s">
        <v>0</v>
      </c>
      <c r="B1" s="21" t="s">
        <v>13</v>
      </c>
      <c r="C1" s="21" t="s">
        <v>14</v>
      </c>
      <c r="D1" s="21" t="s">
        <v>15</v>
      </c>
      <c r="E1" s="21" t="s">
        <v>16</v>
      </c>
      <c r="G1" s="20" t="s">
        <v>1</v>
      </c>
      <c r="H1" s="21" t="s">
        <v>13</v>
      </c>
      <c r="I1" s="21" t="s">
        <v>14</v>
      </c>
      <c r="J1" s="21" t="s">
        <v>15</v>
      </c>
      <c r="K1" s="21" t="s">
        <v>16</v>
      </c>
      <c r="M1" s="20" t="s">
        <v>0</v>
      </c>
      <c r="N1" s="21" t="s">
        <v>13</v>
      </c>
      <c r="O1" s="21" t="s">
        <v>14</v>
      </c>
      <c r="P1" s="21" t="s">
        <v>15</v>
      </c>
      <c r="Q1" s="21" t="s">
        <v>16</v>
      </c>
      <c r="S1" s="20" t="s">
        <v>1</v>
      </c>
      <c r="T1" s="21" t="s">
        <v>13</v>
      </c>
      <c r="U1" s="21" t="s">
        <v>14</v>
      </c>
      <c r="V1" s="21" t="s">
        <v>15</v>
      </c>
      <c r="W1" s="21" t="s">
        <v>16</v>
      </c>
    </row>
    <row r="2" spans="1:26" ht="72.599999999999994" thickBot="1" x14ac:dyDescent="0.35">
      <c r="A2" s="22" t="s">
        <v>17</v>
      </c>
      <c r="B2" s="23">
        <v>12</v>
      </c>
      <c r="C2" s="23">
        <v>0.2</v>
      </c>
      <c r="D2" s="31">
        <v>0.22727273000000001</v>
      </c>
      <c r="E2" s="23">
        <v>5.94</v>
      </c>
      <c r="F2">
        <f>SUMPRODUCT(E2:E6,C2:C6)</f>
        <v>7.9173333277999998</v>
      </c>
      <c r="G2" s="22" t="s">
        <v>22</v>
      </c>
      <c r="H2" s="31">
        <v>13</v>
      </c>
      <c r="I2" s="31">
        <v>0.21666667000000001</v>
      </c>
      <c r="J2" s="31">
        <v>0.24621199999999999</v>
      </c>
      <c r="K2" s="31">
        <v>22.6</v>
      </c>
      <c r="L2">
        <f>SUMPRODUCT(K2:K6,I2:I6)</f>
        <v>40.860000445999994</v>
      </c>
      <c r="M2" s="22" t="s">
        <v>27</v>
      </c>
      <c r="N2" s="23">
        <v>6</v>
      </c>
      <c r="O2" s="31">
        <v>0.1</v>
      </c>
      <c r="P2" s="31">
        <v>0.15698599999999999</v>
      </c>
      <c r="Q2" s="31">
        <v>5.5042</v>
      </c>
      <c r="R2">
        <f>SUMPRODUCT(Q2:Q9,O2:O9)</f>
        <v>7.8929500932619989</v>
      </c>
      <c r="S2" s="22" t="s">
        <v>35</v>
      </c>
      <c r="T2" s="31">
        <v>5</v>
      </c>
      <c r="U2" s="31">
        <v>8.3333329999999997E-2</v>
      </c>
      <c r="V2" s="31">
        <v>8.7170000000000008E-3</v>
      </c>
      <c r="W2" s="31">
        <v>16.065999999999999</v>
      </c>
      <c r="X2">
        <f>SUMPRODUCT(W2:W9,U2:U9)</f>
        <v>42.674666825999999</v>
      </c>
      <c r="Z2" t="s">
        <v>43</v>
      </c>
    </row>
    <row r="3" spans="1:26" ht="72.599999999999994" thickBot="1" x14ac:dyDescent="0.35">
      <c r="A3" s="22" t="s">
        <v>18</v>
      </c>
      <c r="B3" s="23">
        <v>7</v>
      </c>
      <c r="C3" s="31">
        <v>0.11666667</v>
      </c>
      <c r="D3" s="31">
        <v>0.13257575999999999</v>
      </c>
      <c r="E3" s="23">
        <v>6.82</v>
      </c>
      <c r="F3" cm="1">
        <f t="array" ref="F3">SUMPRODUCT((E2:E6-F2)^2,C2:C6)</f>
        <v>1.6415128867513777</v>
      </c>
      <c r="G3" s="22" t="s">
        <v>23</v>
      </c>
      <c r="H3" s="31">
        <v>19</v>
      </c>
      <c r="I3" s="31">
        <v>0.31666666999999998</v>
      </c>
      <c r="J3" s="31">
        <v>0.359848</v>
      </c>
      <c r="K3" s="31">
        <v>35.799999999999997</v>
      </c>
      <c r="L3" cm="1">
        <f t="array" ref="L3">SUMPRODUCT((K2:K6-L2)^2,I2:I6)</f>
        <v>168.96440517347619</v>
      </c>
      <c r="M3" s="22" t="s">
        <v>28</v>
      </c>
      <c r="N3" s="23">
        <v>6</v>
      </c>
      <c r="O3" s="31">
        <v>0.1</v>
      </c>
      <c r="P3" s="31">
        <v>0.15698599999999999</v>
      </c>
      <c r="Q3" s="31">
        <v>6.1412000000000004</v>
      </c>
      <c r="R3" cm="1">
        <f t="array" ref="R3">SUMPRODUCT((Q2:Q9-R2)^2,O2:O9)</f>
        <v>1.7126833440805216</v>
      </c>
      <c r="S3" s="22" t="s">
        <v>36</v>
      </c>
      <c r="T3" s="31">
        <v>10</v>
      </c>
      <c r="U3" s="31">
        <v>0.16666666999999999</v>
      </c>
      <c r="V3" s="31">
        <v>1.7434000000000002E-2</v>
      </c>
      <c r="W3" s="31">
        <v>25.626000000000001</v>
      </c>
      <c r="X3" cm="1">
        <f t="array" ref="X3">SUMPRODUCT((W2:W9-X2)^2,U2:U9)</f>
        <v>222.67035556671908</v>
      </c>
      <c r="Z3" t="s">
        <v>44</v>
      </c>
    </row>
    <row r="4" spans="1:26" ht="72.599999999999994" thickBot="1" x14ac:dyDescent="0.35">
      <c r="A4" s="22" t="s">
        <v>19</v>
      </c>
      <c r="B4" s="23">
        <v>11</v>
      </c>
      <c r="C4" s="31">
        <v>0.18333332999999999</v>
      </c>
      <c r="D4" s="31">
        <v>0.20833333000000001</v>
      </c>
      <c r="E4" s="23">
        <v>7.7</v>
      </c>
      <c r="F4">
        <f>SQRT(F3)</f>
        <v>1.2812153943624693</v>
      </c>
      <c r="G4" s="22" t="s">
        <v>24</v>
      </c>
      <c r="H4" s="31">
        <v>21</v>
      </c>
      <c r="I4" s="31">
        <v>0.35</v>
      </c>
      <c r="J4" s="31">
        <v>0.397727</v>
      </c>
      <c r="K4" s="31">
        <v>49</v>
      </c>
      <c r="L4">
        <f>SQRT(L3)</f>
        <v>12.998630896116568</v>
      </c>
      <c r="M4" s="22" t="s">
        <v>29</v>
      </c>
      <c r="N4" s="23">
        <v>3</v>
      </c>
      <c r="O4" s="31">
        <v>0.05</v>
      </c>
      <c r="P4" s="31">
        <v>7.8492999999999993E-2</v>
      </c>
      <c r="Q4" s="31">
        <v>6.7782</v>
      </c>
      <c r="R4">
        <f>SQRT(R3)</f>
        <v>1.3086952831276353</v>
      </c>
      <c r="S4" s="22" t="s">
        <v>37</v>
      </c>
      <c r="T4" s="31">
        <v>9</v>
      </c>
      <c r="U4" s="31">
        <v>0.15</v>
      </c>
      <c r="V4" s="31">
        <v>1.5689999999999999E-2</v>
      </c>
      <c r="W4" s="31">
        <v>35.186</v>
      </c>
      <c r="X4">
        <f>SQRT(X3)</f>
        <v>14.922143129145997</v>
      </c>
      <c r="Z4" t="s">
        <v>9</v>
      </c>
    </row>
    <row r="5" spans="1:26" ht="72.599999999999994" thickBot="1" x14ac:dyDescent="0.35">
      <c r="A5" s="22" t="s">
        <v>20</v>
      </c>
      <c r="B5" s="23">
        <v>16</v>
      </c>
      <c r="C5" s="31">
        <v>0.26666666999999999</v>
      </c>
      <c r="D5" s="31">
        <v>0.30303029999999997</v>
      </c>
      <c r="E5" s="23">
        <v>8.68</v>
      </c>
      <c r="G5" s="22" t="s">
        <v>25</v>
      </c>
      <c r="H5" s="31">
        <v>6</v>
      </c>
      <c r="I5" s="31">
        <v>0.1</v>
      </c>
      <c r="J5" s="31">
        <v>0.113636</v>
      </c>
      <c r="K5" s="31">
        <v>62.2</v>
      </c>
      <c r="M5" s="22" t="s">
        <v>30</v>
      </c>
      <c r="N5" s="23">
        <v>9</v>
      </c>
      <c r="O5" s="31">
        <v>0.15</v>
      </c>
      <c r="P5" s="31">
        <v>0.23547899999999999</v>
      </c>
      <c r="Q5" s="31">
        <v>7.4151999999999996</v>
      </c>
      <c r="S5" s="22" t="s">
        <v>38</v>
      </c>
      <c r="T5" s="31">
        <v>14</v>
      </c>
      <c r="U5" s="31">
        <v>0.23333333000000001</v>
      </c>
      <c r="V5" s="31">
        <v>2.4407000000000002E-2</v>
      </c>
      <c r="W5" s="31">
        <v>44.746000000000002</v>
      </c>
    </row>
    <row r="6" spans="1:26" ht="72.599999999999994" thickBot="1" x14ac:dyDescent="0.35">
      <c r="A6" s="22" t="s">
        <v>21</v>
      </c>
      <c r="B6" s="23">
        <v>14</v>
      </c>
      <c r="C6" s="31">
        <v>0.23333333000000001</v>
      </c>
      <c r="D6" s="31">
        <v>0.26515151999999997</v>
      </c>
      <c r="E6" s="23">
        <v>9.4600000000000009</v>
      </c>
      <c r="G6" s="22" t="s">
        <v>26</v>
      </c>
      <c r="H6" s="31">
        <v>1</v>
      </c>
      <c r="I6" s="31">
        <v>1.6666670000000001E-2</v>
      </c>
      <c r="J6" s="31">
        <v>1.8939000000000001E-2</v>
      </c>
      <c r="K6" s="31">
        <v>75.400000000000006</v>
      </c>
      <c r="M6" s="22" t="s">
        <v>31</v>
      </c>
      <c r="N6" s="23">
        <v>12</v>
      </c>
      <c r="O6" s="31">
        <v>0.2</v>
      </c>
      <c r="P6" s="31">
        <v>0.31397199999999997</v>
      </c>
      <c r="Q6" s="31">
        <v>8.0521999999999991</v>
      </c>
      <c r="S6" s="22" t="s">
        <v>39</v>
      </c>
      <c r="T6" s="31">
        <v>15</v>
      </c>
      <c r="U6" s="31">
        <v>0.25</v>
      </c>
      <c r="V6" s="31">
        <v>2.6151000000000001E-2</v>
      </c>
      <c r="W6" s="31">
        <v>54.305999999999997</v>
      </c>
    </row>
    <row r="7" spans="1:26" ht="72.599999999999994" thickBot="1" x14ac:dyDescent="0.35">
      <c r="M7" s="22" t="s">
        <v>32</v>
      </c>
      <c r="N7" s="23">
        <v>10</v>
      </c>
      <c r="O7" s="31">
        <v>0.16666666999999999</v>
      </c>
      <c r="P7" s="31">
        <v>0.26164300000000001</v>
      </c>
      <c r="Q7" s="31">
        <v>8.6891999999999996</v>
      </c>
      <c r="S7" s="22" t="s">
        <v>40</v>
      </c>
      <c r="T7" s="31">
        <v>6</v>
      </c>
      <c r="U7" s="31">
        <v>0.1</v>
      </c>
      <c r="V7" s="31">
        <v>1.0460000000000001E-2</v>
      </c>
      <c r="W7" s="31">
        <v>63.866</v>
      </c>
    </row>
    <row r="8" spans="1:26" ht="72.599999999999994" thickBot="1" x14ac:dyDescent="0.35">
      <c r="M8" s="22" t="s">
        <v>33</v>
      </c>
      <c r="N8" s="23">
        <v>10</v>
      </c>
      <c r="O8" s="31">
        <v>0.16666666999999999</v>
      </c>
      <c r="P8" s="31">
        <v>0.26164300000000001</v>
      </c>
      <c r="Q8" s="31">
        <v>9.3262</v>
      </c>
      <c r="S8" s="22" t="s">
        <v>41</v>
      </c>
      <c r="T8" s="31">
        <v>0</v>
      </c>
      <c r="U8" s="31">
        <v>0</v>
      </c>
      <c r="V8" s="31">
        <v>0</v>
      </c>
      <c r="W8" s="31">
        <v>73.426000000000002</v>
      </c>
    </row>
    <row r="9" spans="1:26" ht="72.599999999999994" thickBot="1" x14ac:dyDescent="0.35">
      <c r="M9" s="22" t="s">
        <v>34</v>
      </c>
      <c r="N9" s="23">
        <v>4</v>
      </c>
      <c r="O9" s="31">
        <v>6.6666669999999997E-2</v>
      </c>
      <c r="P9" s="31">
        <v>0.104657</v>
      </c>
      <c r="Q9" s="31">
        <v>9.9632000000000005</v>
      </c>
      <c r="S9" s="22" t="s">
        <v>42</v>
      </c>
      <c r="T9" s="31">
        <v>1</v>
      </c>
      <c r="U9" s="31">
        <v>1.6666670000000001E-2</v>
      </c>
      <c r="V9" s="31">
        <v>1.743E-3</v>
      </c>
      <c r="W9" s="31">
        <v>82.986000000000004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Выборки</vt:lpstr>
      <vt:lpstr>Лист1</vt:lpstr>
      <vt:lpstr>Sheet1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</dc:creator>
  <cp:lastModifiedBy>Vlad G</cp:lastModifiedBy>
  <dcterms:created xsi:type="dcterms:W3CDTF">2026-06-09T10:03:01Z</dcterms:created>
  <dcterms:modified xsi:type="dcterms:W3CDTF">2026-06-13T14:50:43Z</dcterms:modified>
</cp:coreProperties>
</file>